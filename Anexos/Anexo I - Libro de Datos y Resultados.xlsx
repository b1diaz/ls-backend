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2683196ecd8ec8ec/Trabajo De Grado/Anexos/"/>
    </mc:Choice>
  </mc:AlternateContent>
  <xr:revisionPtr revIDLastSave="2" documentId="11_AC139CEF0F0529EACEAF637886C0ABAB2E83488B" xr6:coauthVersionLast="47" xr6:coauthVersionMax="47" xr10:uidLastSave="{6C01D739-1E48-4A0D-B1AA-84227119375A}"/>
  <bookViews>
    <workbookView xWindow="-113" yWindow="-113" windowWidth="24267" windowHeight="13023" tabRatio="500" xr2:uid="{00000000-000D-0000-FFFF-FFFF00000000}"/>
  </bookViews>
  <sheets>
    <sheet name="Tareas" sheetId="1" r:id="rId1"/>
    <sheet name="Encuestas" sheetId="2" r:id="rId2"/>
    <sheet name="Revelacion" sheetId="3" r:id="rId3"/>
    <sheet name="Metricas por tarea" sheetId="4" r:id="rId4"/>
    <sheet name="Analisis de errores" sheetId="5" r:id="rId5"/>
    <sheet name="Resumen por herramienta" sheetId="6" r:id="rId6"/>
    <sheet name="Analisis Cualitativo" sheetId="7" r:id="rId7"/>
    <sheet name="Informe Estadistico"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7" i="8" l="1"/>
  <c r="E97" i="8"/>
  <c r="D97" i="8"/>
  <c r="C97" i="8"/>
  <c r="B97" i="8"/>
  <c r="F96" i="8"/>
  <c r="E96" i="8"/>
  <c r="D96" i="8"/>
  <c r="C96" i="8"/>
  <c r="B96" i="8"/>
  <c r="D55" i="8"/>
  <c r="C55" i="8"/>
  <c r="B55" i="8"/>
  <c r="D54" i="8"/>
  <c r="C54" i="8"/>
  <c r="B54" i="8"/>
  <c r="D34" i="8"/>
  <c r="C34" i="8"/>
  <c r="B34" i="8"/>
  <c r="D33" i="8"/>
  <c r="C33" i="8"/>
  <c r="B33" i="8"/>
  <c r="F12" i="8"/>
  <c r="E12" i="8"/>
  <c r="D12" i="8"/>
  <c r="C12" i="8"/>
  <c r="B12" i="8"/>
  <c r="F11" i="8"/>
  <c r="E11" i="8"/>
  <c r="D11" i="8"/>
  <c r="C11" i="8"/>
  <c r="B11" i="8"/>
  <c r="I23" i="6"/>
  <c r="H23" i="6"/>
  <c r="G23" i="6"/>
  <c r="G24" i="6" s="1"/>
  <c r="F23" i="6"/>
  <c r="F24" i="6" s="1"/>
  <c r="E23" i="6"/>
  <c r="E24" i="6" s="1"/>
  <c r="D23" i="6"/>
  <c r="D24" i="6" s="1"/>
  <c r="C23" i="6"/>
  <c r="C24" i="6" s="1"/>
  <c r="G22" i="6"/>
  <c r="F22" i="6"/>
  <c r="E22" i="6"/>
  <c r="D22" i="6"/>
  <c r="I21" i="6"/>
  <c r="H21" i="6"/>
  <c r="G21" i="6"/>
  <c r="F21" i="6"/>
  <c r="E21" i="6"/>
  <c r="D21" i="6"/>
  <c r="C21" i="6"/>
  <c r="C22" i="6" s="1"/>
  <c r="E15" i="6"/>
  <c r="D15" i="6"/>
  <c r="C15" i="6"/>
  <c r="B15" i="6"/>
  <c r="E14" i="6"/>
  <c r="D14" i="6"/>
  <c r="C14" i="6"/>
  <c r="B14" i="6"/>
  <c r="F8" i="6"/>
  <c r="E8" i="6"/>
  <c r="D8" i="6"/>
  <c r="C8" i="6"/>
  <c r="B8" i="6"/>
  <c r="F7" i="6"/>
  <c r="E7" i="6"/>
  <c r="D7" i="6"/>
  <c r="C7" i="6"/>
  <c r="B7" i="6"/>
  <c r="O11" i="4"/>
  <c r="I11" i="4"/>
  <c r="J11" i="4" s="1"/>
  <c r="H11" i="4"/>
  <c r="L11" i="4" s="1"/>
  <c r="O10" i="4"/>
  <c r="I10" i="4"/>
  <c r="J10" i="4" s="1"/>
  <c r="H10" i="4"/>
  <c r="L10" i="4" s="1"/>
  <c r="O9" i="4"/>
  <c r="L9" i="4"/>
  <c r="I9" i="4"/>
  <c r="J9" i="4" s="1"/>
  <c r="H9" i="4"/>
  <c r="O8" i="4"/>
  <c r="L8" i="4"/>
  <c r="J8" i="4"/>
  <c r="I8" i="4"/>
  <c r="H8" i="4"/>
  <c r="O7" i="4"/>
  <c r="I7" i="4"/>
  <c r="J7" i="4" s="1"/>
  <c r="H7" i="4"/>
  <c r="L7" i="4" s="1"/>
  <c r="O6" i="4"/>
  <c r="B76" i="8" s="1"/>
  <c r="I6" i="4"/>
  <c r="F15" i="6" s="1"/>
  <c r="H6" i="4"/>
  <c r="L6" i="4" s="1"/>
  <c r="O5" i="4"/>
  <c r="L5" i="4"/>
  <c r="I5" i="4"/>
  <c r="F14" i="6" s="1"/>
  <c r="H5" i="4"/>
  <c r="O4" i="4"/>
  <c r="B75" i="8" s="1"/>
  <c r="L4" i="4"/>
  <c r="J4" i="4"/>
  <c r="I4" i="4"/>
  <c r="H4" i="4"/>
  <c r="J6" i="4" l="1"/>
  <c r="J5" i="4"/>
</calcChain>
</file>

<file path=xl/sharedStrings.xml><?xml version="1.0" encoding="utf-8"?>
<sst xmlns="http://schemas.openxmlformats.org/spreadsheetml/2006/main" count="566" uniqueCount="314">
  <si>
    <t>N°</t>
  </si>
  <si>
    <t>Participante</t>
  </si>
  <si>
    <t>Registros buscados</t>
  </si>
  <si>
    <t>Categoría</t>
  </si>
  <si>
    <t>Herramienta</t>
  </si>
  <si>
    <t>Códigos declarados</t>
  </si>
  <si>
    <t>Tipo de finalización</t>
  </si>
  <si>
    <t>Confianza (1-5)</t>
  </si>
  <si>
    <t>SEQ (1-7)</t>
  </si>
  <si>
    <t>Hora envío</t>
  </si>
  <si>
    <t>Hora inicio (video)</t>
  </si>
  <si>
    <t>Hora fin (video)</t>
  </si>
  <si>
    <t>Formulario (fuente)</t>
  </si>
  <si>
    <t>Anyi</t>
  </si>
  <si>
    <t>Kimy</t>
  </si>
  <si>
    <t>Cuida tu espalda</t>
  </si>
  <si>
    <t>Excel</t>
  </si>
  <si>
    <t>RSSST-0007, RSSST-0016, RSSST-0017, RSSST-0022, RSSST-0028</t>
  </si>
  <si>
    <t>Se acabó el tiempo (10 minutos)</t>
  </si>
  <si>
    <t>A-T1 · Cuida tu espalda</t>
  </si>
  <si>
    <t>Operadores conscientes</t>
  </si>
  <si>
    <t>RSSST-0004, RSSST-0010, RSSST-0021, RSSST-0031, RSSST-0035</t>
  </si>
  <si>
    <t>A-T2 · Operadores conscientes</t>
  </si>
  <si>
    <t>Manos protegidas</t>
  </si>
  <si>
    <t>Aplicativo web</t>
  </si>
  <si>
    <t>RSSST-0048, RSSST-0040, RSSST-0015, RSSST-0047, RSSST-0018, RSSST-0013</t>
  </si>
  <si>
    <t>Creo que ya encontré todos los relacionados</t>
  </si>
  <si>
    <t>A-T3 · Manos protegidas</t>
  </si>
  <si>
    <t>Mantén el equilibrio</t>
  </si>
  <si>
    <t>RSSST-0012, RSSST-0029, RSSST-0026, RSSST-0009</t>
  </si>
  <si>
    <t>A-T4 · Mantén el equilibrio</t>
  </si>
  <si>
    <t>Cuidado con la corriente</t>
  </si>
  <si>
    <t>RE-24-10-02, RE-24-08-01, RE-24-02-01, DP-24-02-02, RE-25-01-02, DP-25-09-01</t>
  </si>
  <si>
    <t>K-T1 · Cuidado con la corriente</t>
  </si>
  <si>
    <t>Seguridad en la vía</t>
  </si>
  <si>
    <t>SV-25-06-02, SV-24-07-02, SV-25-08-02, SV-24-09-01, SV-25-04-02, SV-25-11-03, SV-25-02-01, SV-24-06-02, DP-25-03-02, DP-24-06-01, AM-25-11-01, AM-25-11-01, DP-25-08-01</t>
  </si>
  <si>
    <t>K-T2 · Seguridad en la vía</t>
  </si>
  <si>
    <t>Maquinaria en buen estado</t>
  </si>
  <si>
    <t>DP-24-01-01, DP-24-12-02</t>
  </si>
  <si>
    <t>K-T3 · Maquinaria en buen estado</t>
  </si>
  <si>
    <t>Liberación Imprevista de Energía y Caída de Objetos Pesados</t>
  </si>
  <si>
    <t>DP-24-01-01, DP-24-02-02, RE-24-02-01, AM-24-03-02, AM-24-04-02, AM-24-05-01, AM-24-05-02</t>
  </si>
  <si>
    <t>K-T4 · Liberación Imprevista de Energía y Caída de Objetos Pesados</t>
  </si>
  <si>
    <t>Encuesta de satisfacción — valores Likert 1-5 (1=Totalmente en desacuerdo, 5=Totalmente de acuerdo). Ítems agrupados en 3 dimensiones. Datos finales.</t>
  </si>
  <si>
    <t>Afirmación</t>
  </si>
  <si>
    <t>Dimensión</t>
  </si>
  <si>
    <t>Anyi – Excel</t>
  </si>
  <si>
    <t>Anyi – Aplicativo</t>
  </si>
  <si>
    <t>Kimy – Excel</t>
  </si>
  <si>
    <t>Kimy – Aplicativo</t>
  </si>
  <si>
    <t>La herramienta fue fácil de usar.</t>
  </si>
  <si>
    <t>Facilidad / Usabilidad</t>
  </si>
  <si>
    <t>Me sentí segura usando la herramienta.</t>
  </si>
  <si>
    <t>Las funciones están organizadas de forma clara.</t>
  </si>
  <si>
    <t>La herramienta me resultó útil para encontrar las lecciones aprendidas que buscaba.</t>
  </si>
  <si>
    <t>Utilidad y adopción</t>
  </si>
  <si>
    <t>Usaría esta herramienta en mi trabajo para consultar lecciones aprendidas.</t>
  </si>
  <si>
    <t>Pude llegar a la información que necesitaba sin obstáculos.</t>
  </si>
  <si>
    <t>Eficiencia y acceso</t>
  </si>
  <si>
    <t>Los resultados se presentaron de forma que pude identificar fácilmente lo relevante.</t>
  </si>
  <si>
    <t>Encontré rápidamente los registros que buscaba.</t>
  </si>
  <si>
    <t>El esfuerzo mental para formular las búsquedas fue bajo.</t>
  </si>
  <si>
    <t>Fuente: columnas “Excel” del formulario “Encuesta – Excel”; columnas “Aplicativo” del formulario “Encuesta – Aplicativo web”.</t>
  </si>
  <si>
    <t>Revelación de resultados — respondido tras mostrar a cada participante su desempeño (encontrados / correctos / debían). Datos finales.</t>
  </si>
  <si>
    <t>Sorpresa (1-5)</t>
  </si>
  <si>
    <t>¿Qué es lo que más le sorprende y por qué?</t>
  </si>
  <si>
    <t>Herramienta que usaría</t>
  </si>
  <si>
    <t>¿Por qué eligió esa herramienta?</t>
  </si>
  <si>
    <t>Lo que más me sorprende es la rapidez con la que se puede encontrar información relevante. Antes, la búsqueda de una lección aprendida podía tomar más tiempo al revisar cada hoja de excel, mientras que con el aplicativo web la información está organizada y disponible de forma inmediata</t>
  </si>
  <si>
    <t>Elegí el aplicativo web porque es una herramienta que facilita la búsqueda y consulta de las lecciones aprendidas, permitiendo acceder a la información de forma rápida y organizada.</t>
  </si>
  <si>
    <t>las busquedas realizadas vs las correctas, porque hay un margen grande de error en lo encontrado</t>
  </si>
  <si>
    <t>Es màs fácil, disminuye la busqueda y te permite ver mejor lo que buscas y lo que encuentras, la informaciòn esta consolidada y el tiempo de busqueda se reduce bastante</t>
  </si>
  <si>
    <t>Fuente: formulario “Revelación de resultados”.</t>
  </si>
  <si>
    <t>Métricas por tarea. Exhaustividad=correctos/relevantes · Precisión=correctos/declarados · F1=media armónica. La interpretación de cada error está en la hoja "Análisis de errores" (no se prejuzga sobreconfianza). Tiempo y Rendimiento se completan desde el video (amarillo).</t>
  </si>
  <si>
    <t>Relevantes (GT)</t>
  </si>
  <si>
    <t>Declarados</t>
  </si>
  <si>
    <t>Correctos (VP)</t>
  </si>
  <si>
    <t>Exhaustividad</t>
  </si>
  <si>
    <t>Precisión</t>
  </si>
  <si>
    <t>F1</t>
  </si>
  <si>
    <t>Brecha (conf/5 − exhaustividad)</t>
  </si>
  <si>
    <t>Ver "Análisis de errores"</t>
  </si>
  <si>
    <t>Tiempo (min)</t>
  </si>
  <si>
    <t>Rendimiento (VP/min)</t>
  </si>
  <si>
    <t>—</t>
  </si>
  <si>
    <t>ANÁLISIS DE ERRORES POR CONTENIDO</t>
  </si>
  <si>
    <t>Cada registro declarado-de-más u omitido se contrasta con el contenido real del registro (fuente: Registros_*.json) y con la descripción de la categoría del folleto. El objetivo es distinguir el TIPO de error, no asumir sobreconfianza.</t>
  </si>
  <si>
    <t>Patrones identificados</t>
  </si>
  <si>
    <t>1. Misclasificación en categoría vecina</t>
  </si>
  <si>
    <t>El registro SÍ fue recuperado, pero se archivó en una categoría distinta a la real. No es un fallo de búsqueda sino de clasificación. Ej.: montacargas/manlift (Maquinaria) archivados en Vía; corte con cuchilla de molino (Manos) archivado en Operadores.</t>
  </si>
  <si>
    <t>2. Trampa de la palabra "energía"</t>
  </si>
  <si>
    <t>Registros ELÉCTRICOS (Corriente) se declararon también en "Liberación Imprevista de Energía" por la coincidencia literal con "energía", aunque esa categoría se refiere a cargas/objetos físicos, no a energía eléctrica.</t>
  </si>
  <si>
    <t>3. Distractor "Sin categoría" con vocabulario compartido</t>
  </si>
  <si>
    <t>El evento no encaja en ninguna categoría objetivo, pero comparte palabras (vehículo, parqueadero, vía, conducción) que lo acercaron a la búsqueda. Ej.: abrir la puerta y golpear a un peatón con el vehículo detenido.</t>
  </si>
  <si>
    <t>4. Duplicado de captura</t>
  </si>
  <si>
    <t>El mismo código declarado dos veces en la misma tarea (AM-25-11-01). Artefacto de registro, no de criterio.</t>
  </si>
  <si>
    <t>5. Omisión</t>
  </si>
  <si>
    <t>Registro relevante no declarado. En tareas con el aplicativo (que siempre devuelve resultados) es plausible que se mostrara y no se seleccionara o no se leyera completo; en Excel, que no se alcanzara a revisar en los 10 min.</t>
  </si>
  <si>
    <t>Hallazgo clave: 4 de los "errores de precisión" fueron registros ENCONTRADOS y misclasificados (RSSST-0004, DP-25-03-02, DP-25-08-01, DP-24-01-01). Por eso la exhaustividad por categoría subestima la capacidad real de recuperar el registro: la persona lo halló, pero lo puso en la categoría contigua.</t>
  </si>
  <si>
    <t>A. Falsos positivos (declarados de más) — justificación por contenido</t>
  </si>
  <si>
    <t>Tarea (categoría declarada)</t>
  </si>
  <si>
    <t>Herram.</t>
  </si>
  <si>
    <t>Código</t>
  </si>
  <si>
    <t>Categoría real (GT)</t>
  </si>
  <si>
    <t>Tipo de error</t>
  </si>
  <si>
    <t>Justificación según el contenido del registro</t>
  </si>
  <si>
    <t>Aplicativo</t>
  </si>
  <si>
    <t>RSSST-0004</t>
  </si>
  <si>
    <t>Misclasificación (vecina)</t>
  </si>
  <si>
    <t>La lesión es un corte en la falange por contacto con la cuchilla del molino → "Manos protegidas" (elementos con filo). Se archivó en "Operadores" porque ocurre operando una máquina, pero esa categoría es sobre equipos para mover mercancía, no molinos.</t>
  </si>
  <si>
    <t>SV-24-09-01</t>
  </si>
  <si>
    <t>Sin categoría</t>
  </si>
  <si>
    <t>Distractor (vocabulario)</t>
  </si>
  <si>
    <t>El vehículo está estacionado y detenido; al abrir la puerta se golpea a un peatón. No hay desplazamiento, choque, colisión ni maniobra de estacionar. Comparte "vehículo/parqueadero/conductor" (por eso apareció), pero es un golpe a persona → Sin categoría.</t>
  </si>
  <si>
    <t>DP-25-03-02</t>
  </si>
  <si>
    <t>Un montacargas calcula mal el giro y golpea una estantería: falla en la operación de un equipo → "Maquinaria". Se archivó en "Vía" por el vocabulario de maniobra/pasillo, pero no es un desplazamiento vial.</t>
  </si>
  <si>
    <t>DP-24-06-01</t>
  </si>
  <si>
    <t>Una piedra de rocería fractura una ventana (daño a propiedad). La "lección aprendida" del propio registro habla de conducción vial —inconsistencia interna del registro—, lo que probablemente lo acercó a la búsqueda; pero el evento no involucra vehículo ni tránsito → Sin categoría.</t>
  </si>
  <si>
    <t>AM-25-11-01</t>
  </si>
  <si>
    <t>Distractor + duplicado</t>
  </si>
  <si>
    <t>Golpe de rodilla contra el marco de una puerta instalando un router. Sin vehículo ni desplazamiento. Además fue declarado dos veces (duplicado de captura) → Sin categoría.</t>
  </si>
  <si>
    <t>DP-25-08-01</t>
  </si>
  <si>
    <t>Encunetamiento de una plataforma elevadora (manlift) al cambiar la ruta: pérdida de control de un equipo de trabajo → "Maquinaria" ("encunetamiento" está literal en la descripción de esa categoría). Se archivó en "Vía" por "ruta de acceso".</t>
  </si>
  <si>
    <t>DP-24-01-01</t>
  </si>
  <si>
    <t>Liberación Imprevista de Energía…</t>
  </si>
  <si>
    <t>Se desprende el soporte metálico que sostiene la manguera del carrotanque y cae: objeto que se soltó de su sujeción → "Liberación… y caída de objetos". Se archivó en "Maquinaria" por el contexto de equipo/carrotanque, pero no es falla de operación de un equipo.</t>
  </si>
  <si>
    <t>DP-24-02-02</t>
  </si>
  <si>
    <t>Doble declaración ("energía")</t>
  </si>
  <si>
    <t>Afectación al banco de ductos que causa pérdida de energía eléctrica, apagado del control y disparo de válvulas: energía ELÉCTRICA → "Corriente" (donde ya lo declaró bien). Lo repitió en "Liberación" por la palabra "energía", pero esa categoría es sobre cargas físicas, no energía eléctrica.</t>
  </si>
  <si>
    <t>RE-24-02-01</t>
  </si>
  <si>
    <t>Arco eléctrico al abrir un gabinete con humedad: energía eléctrica → "Corriente" (ya declarado bien). Repetido en "Liberación" por asociación con "energía"; no hay liberación de carga física.</t>
  </si>
  <si>
    <t>AM-24-03-02</t>
  </si>
  <si>
    <t>El trabajador rueda manualmente una brida y ésta cae sobre su pie al encontrar un resalto. No se soltó de una sujeción ni cedió imprevistamente: es manipulación/carga manual → Sin categoría (más cercano a espalda/manos, categorías ausentes en este conjunto de registros).</t>
  </si>
  <si>
    <t>AM-24-05-02</t>
  </si>
  <si>
    <t>Una válvula gira al retirar el último perno y golpea los dedos. Lesión en dedos por giro de una pieza, no caída de carga pesada ni objeto desprendido de altura → Sin categoría.</t>
  </si>
  <si>
    <t>B. Omisiones (relevantes no declarados) — claridad de encaje y lectura</t>
  </si>
  <si>
    <t>Tarea (categoría)</t>
  </si>
  <si>
    <t>Descripción (resumen)</t>
  </si>
  <si>
    <t>Claridad de encaje</t>
  </si>
  <si>
    <t>Nota</t>
  </si>
  <si>
    <t>RSSST-0020</t>
  </si>
  <si>
    <t>Ingresó bajo una góndola para acomodar un bulto (postura forzada).</t>
  </si>
  <si>
    <t>Alta</t>
  </si>
  <si>
    <t>Excel: no se alcanzó a revisar todos los registros en los 10 minutos.</t>
  </si>
  <si>
    <t>RSSST-0034</t>
  </si>
  <si>
    <t>Cajas de carne apiladas se deslizan estando de espaldas a la estiba.</t>
  </si>
  <si>
    <t>RSSST-0043</t>
  </si>
  <si>
    <t>Surtido de bolsas de ~18 kg inclinándose repetidamente.</t>
  </si>
  <si>
    <t>RSSST-0049</t>
  </si>
  <si>
    <t>Traslado de caja de resmas ~23 kg que se resbala al sostenerla.</t>
  </si>
  <si>
    <t>RSSST-0002</t>
  </si>
  <si>
    <t>Montacargas: la estiba no queda anclada y caen productos sobre la cabina.</t>
  </si>
  <si>
    <t>RSSST-0019</t>
  </si>
  <si>
    <t>Estiba de jabones mientras otro colaborador moviliza otra estiba.</t>
  </si>
  <si>
    <t>RSSST-0046</t>
  </si>
  <si>
    <t>Traslado con traspaleta eléctrica; otro equipo interviene.</t>
  </si>
  <si>
    <t>Corte en el dedo con la cuchilla del molino. (Se declaró, pero en "Operadores").</t>
  </si>
  <si>
    <t>Encontrado y misclasificado, no omitido real (ver falsos positivos).</t>
  </si>
  <si>
    <t>RSSST-0033</t>
  </si>
  <si>
    <t>Corte en la mano al manipular un bulto de arroz plástico.</t>
  </si>
  <si>
    <t>Aplicativo: probablemente el registro se mostró y no se seleccionó o no se leyó completo.</t>
  </si>
  <si>
    <t>RSSST-0037</t>
  </si>
  <si>
    <t>Corte con bisturí al abrir cajas de durazno.</t>
  </si>
  <si>
    <t>RSSST-0038</t>
  </si>
  <si>
    <t>Lesión en mano al retirar un six pack de botellas.</t>
  </si>
  <si>
    <t>Media</t>
  </si>
  <si>
    <t>Aplicativo: encaje algo menos evidente por el fraseo.</t>
  </si>
  <si>
    <t>RSSST-0001</t>
  </si>
  <si>
    <t>Se enreda con una manguera y cae.</t>
  </si>
  <si>
    <t>Aplicativo: el foco del texto es la mano, no la caída; encaje menos evidente.</t>
  </si>
  <si>
    <t>RSSST-0008</t>
  </si>
  <si>
    <t>Uso de una escalera dañada e inestable en estantería alta.</t>
  </si>
  <si>
    <t>RSSST-0036</t>
  </si>
  <si>
    <t>Escalera a la que se le sale un tornillo durante el uso.</t>
  </si>
  <si>
    <t>RSSST-0045</t>
  </si>
  <si>
    <t>Piso húmedo sin señalización con flujo de personal.</t>
  </si>
  <si>
    <t>SV-24-01-02</t>
  </si>
  <si>
    <t>Desplazamiento al pozo; estalla la llanta al pisar un metal punzante.</t>
  </si>
  <si>
    <t>Caso de vía de manual; con el aplicativo es muy probable que se mostrara y no se seleccionara.</t>
  </si>
  <si>
    <t>Montacargas golpea una estantería. (Se declaró, pero en "Vía").</t>
  </si>
  <si>
    <t>Manlift encunetado. (Se declaró, pero en "Vía").</t>
  </si>
  <si>
    <t>AM-24-09-02</t>
  </si>
  <si>
    <t>Al retirar el seguro de la escotilla del carrotanque, energía acumulada la dispara contra la pierna.</t>
  </si>
  <si>
    <t>AM-25-01-01</t>
  </si>
  <si>
    <t>Desacople de manguera sin verificar presión residual en la línea.</t>
  </si>
  <si>
    <t>AM-25-05-02</t>
  </si>
  <si>
    <t>La tapa del dispensador se suelta y golpea el labio.</t>
  </si>
  <si>
    <t>Excel: objeto pequeño; encaje menos evidente.</t>
  </si>
  <si>
    <t>AM-25-07-01</t>
  </si>
  <si>
    <t>Al soltar el amarre de las líneas de anclaje, el cable se libera.</t>
  </si>
  <si>
    <t>DP-24-11-01</t>
  </si>
  <si>
    <t>Apertura repentina del manifold somete el manómetro a sobrepresión que rompe el cristal.</t>
  </si>
  <si>
    <t>DP-25-11-02</t>
  </si>
  <si>
    <t>Fallan los pines de seguridad y un tubo del rack rueda al piso.</t>
  </si>
  <si>
    <t>Fuente de contenido: Registros Anyi.json y Registros_Kimy.json (04 - Registros de Participantes). Categoría real: ground truth (hoja GT). Descripciones de categoría: folletos de campaña.</t>
  </si>
  <si>
    <t>RESUMEN POR HERRAMIENTA — Excel vs. Aplicativo</t>
  </si>
  <si>
    <t>Estadística básica sobre los 3 indicadores comprometidos en la tesis (Tabla 1): tiempo promedio de búsqueda, precisión de resultados y satisfacción del usuario. Todas las celdas son fórmulas que leen de las hojas "Metricas por tarea" y "Encuestas": si cambian esos datos, este resumen se actualiza solo. Muestra n=2; resultados exploratorios, no generalizables (Sampieri et al., 2014).</t>
  </si>
  <si>
    <t>1. Tiempo promedio de búsqueda por herramienta</t>
  </si>
  <si>
    <t>Media y desviación estándar (muestral) del tiempo por tarea, en minutos. Fuente: columna "Tiempo (min)" de Metricas por tarea.</t>
  </si>
  <si>
    <t>n (tareas)</t>
  </si>
  <si>
    <t>Media (min)</t>
  </si>
  <si>
    <t>Desv. est. (min)</t>
  </si>
  <si>
    <t>Mediana (min)</t>
  </si>
  <si>
    <t>Mín–Máx (min)</t>
  </si>
  <si>
    <t>Todas las tareas en Excel agotaron los 10 minutos (nunca se sintieron completas); en el aplicativo 3 de 4 terminaron antes por decisión de la participante ("creo que ya encontré todos").</t>
  </si>
  <si>
    <t>2. Precisión de los resultados por herramienta</t>
  </si>
  <si>
    <t>Precisión = registros relevantes (VP) / total declarados. Agregada = suma de VP sobre suma de declarados; Promedio por tarea = media de las precisiones de cada tarea. Fuente: columnas Correctos (VP), Declarados y Precisión de Metricas por tarea.</t>
  </si>
  <si>
    <t>VP totales</t>
  </si>
  <si>
    <t>Declarados totales</t>
  </si>
  <si>
    <t>Precisión agregada</t>
  </si>
  <si>
    <t>Precisión promedio por tarea</t>
  </si>
  <si>
    <t>La precisión del aplicativo se ve afectada por la tarea "Seguridad en la vía" (7/13); el desglose y la razón de cada registro están en la hoja "Análisis de errores".</t>
  </si>
  <si>
    <t>3. Nivel de satisfacción del usuario por herramienta (Likert 1-5)</t>
  </si>
  <si>
    <t>Frecuencias y porcentajes de las 9 afirmaciones de la encuesta, uniendo a las dos participantes por herramienta (9 ítems × 2 = 18 respuestas). Media y mediana como referencia (escala ordinal, Sampieri). Fuente: hoja Encuestas.</t>
  </si>
  <si>
    <t>Medida</t>
  </si>
  <si>
    <t>1</t>
  </si>
  <si>
    <t>2</t>
  </si>
  <si>
    <t>3</t>
  </si>
  <si>
    <t>4</t>
  </si>
  <si>
    <t>5</t>
  </si>
  <si>
    <t>Mediana</t>
  </si>
  <si>
    <t>Frecuencia (n)</t>
  </si>
  <si>
    <t>Porcentaje</t>
  </si>
  <si>
    <t>En Excel las respuestas se concentran en los niveles 1-3; en el aplicativo, en 4-5. Detalle por ítem y dimensión (Facilidad/Usabilidad, Utilidad y adopción, Eficiencia y acceso) en la hoja "Encuestas".</t>
  </si>
  <si>
    <t>Todas las cifras de esta hoja son fórmulas vinculadas a "Metricas por tarea" y "Encuestas". Indicadores según Tabla 1 del documento de tesis; análisis exploratorio (n=2).</t>
  </si>
  <si>
    <t>ANÁLISIS CUALITATIVO — Análisis temático simplificado</t>
  </si>
  <si>
    <t>Método: análisis temático en fases (familiarización, codificación inicial, búsqueda y definición de temas) siguiendo la técnica simplificada de Sampieri et al. (2014) y Braun &amp; Clarke (2006). Material analizado: respuestas abiertas de la sesión (formulario de Revelación) de las 2 participantes. Codificación inductiva. En el informe final las participantes se citan anonimizadas (P1/P2). Estudio exploratorio, no generalizable.</t>
  </si>
  <si>
    <t>A. Material analizado (respuestas textuales)</t>
  </si>
  <si>
    <t>Pregunta</t>
  </si>
  <si>
    <t>Respuesta textual (verbatim)</t>
  </si>
  <si>
    <t>¿Qué es lo que más te sorprende y por qué?</t>
  </si>
  <si>
    <t>Lo que más me sorprende es la rapidez con la que se puede encontrar información relevante. Antes, la búsqueda de una lección aprendida podía tomar más tiempo al revisar cada hoja de excel, mientras que con el aplicativo web la información está organizada y disponible de forma inmediata.</t>
  </si>
  <si>
    <t>¿Por qué elegiste esa herramienta?</t>
  </si>
  <si>
    <t>Las búsquedas realizadas vs las correctas, porque hay un margen grande de error en lo encontrado.</t>
  </si>
  <si>
    <t>Es más fácil, disminuye la búsqueda y te permite ver mejor lo que buscas y lo que encuentras, la información está consolidada y el tiempo de búsqueda se reduce bastante.</t>
  </si>
  <si>
    <t>B. Matriz de codificación (segmento → código → tema)</t>
  </si>
  <si>
    <t>Segmento citado</t>
  </si>
  <si>
    <t>Código inicial</t>
  </si>
  <si>
    <t>Tema</t>
  </si>
  <si>
    <t>“la rapidez con la que se puede encontrar información relevante”</t>
  </si>
  <si>
    <t>Rapidez de búsqueda</t>
  </si>
  <si>
    <t>T1 · Eficiencia temporal</t>
  </si>
  <si>
    <t>“podía tomar más tiempo al revisar cada hoja de excel”</t>
  </si>
  <si>
    <t>Excel lento / revisión hoja por hoja</t>
  </si>
  <si>
    <t>“el tiempo de búsqueda se reduce bastante” / “disminuye la búsqueda”</t>
  </si>
  <si>
    <t>Reducción del tiempo</t>
  </si>
  <si>
    <t>“la información está organizada y disponible de forma inmediata”</t>
  </si>
  <si>
    <t>Información organizada / inmediata</t>
  </si>
  <si>
    <t>T2 · Organización y acceso</t>
  </si>
  <si>
    <t>“la información está consolidada”</t>
  </si>
  <si>
    <t>Información consolidada</t>
  </si>
  <si>
    <t>“te permite ver mejor lo que buscas y lo que encuentras”</t>
  </si>
  <si>
    <t>Visibilidad de resultados</t>
  </si>
  <si>
    <t>“permitiendo acceder a la información de forma rápida y organizada”</t>
  </si>
  <si>
    <t>Accesibilidad</t>
  </si>
  <si>
    <t>“es una herramienta que facilita la búsqueda y consulta”</t>
  </si>
  <si>
    <t>Facilita la tarea</t>
  </si>
  <si>
    <t>T3 · Facilidad de uso</t>
  </si>
  <si>
    <t>“Es más fácil”</t>
  </si>
  <si>
    <t>Menor esfuerzo percibido</t>
  </si>
  <si>
    <t>“las búsquedas realizadas vs las correctas… hay un margen grande de error en lo encontrado”</t>
  </si>
  <si>
    <t>Conciencia del error / brecha</t>
  </si>
  <si>
    <t>T4 · Conciencia de la exhaustividad</t>
  </si>
  <si>
    <t>C. Síntesis de temas</t>
  </si>
  <si>
    <t>Descripción</t>
  </si>
  <si>
    <t>Presencia</t>
  </si>
  <si>
    <t>Cita ilustrativa</t>
  </si>
  <si>
    <t>El aplicativo se percibe como más rápido y como una reducción del tiempo frente a la revisión hoja por hoja del Excel.</t>
  </si>
  <si>
    <t>2 de 2</t>
  </si>
  <si>
    <t>“Antes… podía tomar más tiempo al revisar cada hoja de excel” (Anyi)</t>
  </si>
  <si>
    <t>La información aparece consolidada, organizada y disponible de inmediato, lo que mejora la visibilidad de lo que se busca y se encuentra.</t>
  </si>
  <si>
    <t>“la información está consolidada… ver mejor lo que buscas y lo que encuentras” (Kimy)</t>
  </si>
  <si>
    <t>Se percibe menor esfuerzo: la herramienta facilita la búsqueda y la consulta.</t>
  </si>
  <si>
    <t>“Es más fácil” (Kimy)</t>
  </si>
  <si>
    <t>Al ver los resultados reales, surge conciencia de la brecha entre lo encontrado y lo correcto (relación con la brecha de exhaustividad del análisis cuantitativo).</t>
  </si>
  <si>
    <t>1 de 2</t>
  </si>
  <si>
    <t>“hay un margen grande de error en lo encontrado” (Kimy)</t>
  </si>
  <si>
    <t>D. Dato complementario: preferencia y forma de finalizar</t>
  </si>
  <si>
    <t>Ambas participantes eligieron el Aplicativo web como herramienta que usarían (2 de 2). De forma coherente con el tema de eficiencia, las tareas con el aplicativo tendieron a terminar por decisión propia ("creo que ya encontré todos"), mientras que las de Excel terminaron al agotarse los 10 minutos. El único matiz crítico proviene del tema T4: la sensación de completitud con el aplicativo no siempre coincidió con la exhaustividad real (ver hoja "Análisis de errores"), lo que constituye un hallazgo a considerar, no un rechazo de la herramienta.</t>
  </si>
  <si>
    <t>Nota de rigor: codificación inductiva registrada en esta matriz (auditabilidad). Material reducido (2 participantes, 4 respuestas abiertas); los temas se ofrecen como tendencias exploratorias que complementan —y coinciden con— los indicadores cuantitativos. Fuente: "Resultados Formulario.xlsx", formulario de Revelación.</t>
  </si>
  <si>
    <t>INFORME ESTADÍSTICO DE LA PRUEBA PILOTO</t>
  </si>
  <si>
    <t>Comparación del desempeño de búsqueda de lecciones aprendidas entre el método tradicional (archivos de Excel) y el prototipo de aplicativo web con inteligencia artificial. Participaron 2 profesionales HSEQ; cada una realizó 4 tareas de búsqueda (2 con cada herramienta) sobre un conjunto de 50 registros que no conocía, con un límite de 10 minutos por tarea. Por el tamaño de la muestra, los resultados son exploratorios: describen lo observado en esta prueba y no son generalizables. Cifras vinculadas por fórmula a las hojas de datos.</t>
  </si>
  <si>
    <t>Antes de leer los resultados: cómo se armó la comparación (28 frente a 32 registros)</t>
  </si>
  <si>
    <t>Cada categoría temática se buscó con una sola herramienta. Esto es intencional: si una participante buscara la misma categoría primero en Excel y luego en el aplicativo, en la segunda ronda ya sabría qué registros existen y la comparación quedaría contaminada (efecto de aprendizaje). La asignación de qué categorías iban a cada herramienta se hizo por sorteo presenciado por las participantes al inicio de la sesión.</t>
  </si>
  <si>
    <t>Ese sorteo produjo grupos de tamaño distinto: las categorías asignadas a Excel sumaban 28 registros relevantes por encontrar y las del aplicativo 32. La comparación sigue siendo válida porque todos los indicadores se expresan como proporciones sobre el total propio de cada herramienta — la precisión se calcula sobre lo que cada una declaró y la exhaustividad sobre lo que existía en sus propias categorías — de modo que ninguna se beneficia de haber recibido más o menos registros. Además, el diseño quedó balanceado en lo esencial: cada participante realizó 2 tareas con cada herramienta, y cada herramienta recibió categorías de ambos conjuntos.</t>
  </si>
  <si>
    <t>La limitación que sí debe declararse es otra: como cada categoría se evaluó en una sola herramienta, las categorías de un grupo no son idénticas en dificultad a las del otro (temas distintos, con más o menos registros parecidos entre sí). Parte de la diferencia observada podría deberse a la naturaleza de las categorías y no solo a la herramienta. Con una muestra piloto esto no se puede separar por completo; por eso los resultados se presentan como evidencia exploratoria y se acompañan del análisis caso por caso de la hoja "Analisis de errores".</t>
  </si>
  <si>
    <t>1. ¿Cuánto tiempo tomó buscar?</t>
  </si>
  <si>
    <t>Desv. estándar (min)</t>
  </si>
  <si>
    <t>Mínimo (min)</t>
  </si>
  <si>
    <t>Máximo (min)</t>
  </si>
  <si>
    <t>Aquí encontramos que las búsquedas en Excel usaron en promedio 10 minutos y las del aplicativo 8,75. La media es el promedio simple de los minutos usados en las 4 tareas de cada herramienta. La desviación estándar indica qué tanto varían las tareas entre sí: en Excel es 0, lo que significa que las cuatro tareas consumieron el tiempo completo — ninguna terminó antes porque la participante nunca sintió que había acabado. En el aplicativo la desviación de 0,96 refleja que 3 de las 4 tareas terminaron antes del límite por decisión propia ("creo que ya encontré todos"). Es decir, la diferencia real no es solo de minutos: es que el aplicativo permitió llegar a una sensación de tarea completa, algo que con Excel nunca ocurrió.</t>
  </si>
  <si>
    <t>Como se puede observar en el siguiente gráfico, la barra del aplicativo es más corta: menos tiempo invertido por tarea.</t>
  </si>
  <si>
    <t>2. ¿Qué tan acertado fue lo que declararon encontrar?</t>
  </si>
  <si>
    <t>Registros declarados</t>
  </si>
  <si>
    <t>Correctos</t>
  </si>
  <si>
    <t>La precisión responde a una pregunta sencilla: de todos los registros que la participante dijo "este sí pertenece al tema", ¿cuántos realmente pertenecían? Con Excel, de 19 registros declarados 13 eran correctos (68,4%); con el aplicativo, de 29 declarados 23 eran correctos (79,3%). En otras palabras, por cada 10 registros señalados con el aplicativo, aproximadamente 8 eran correctos, frente a cerca de 7 con Excel. Cabe anotar que la mayoría de los errores no fueron invenciones: casi todos corresponden a registros reales que se archivaron en un tema vecino muy parecido (por ejemplo, un evento eléctrico clasificado bajo "energía"), como se detalla en la hoja "Analisis de errores".</t>
  </si>
  <si>
    <t>3. ¿Qué proporción de lo que existía lograron encontrar? (exhaustividad)</t>
  </si>
  <si>
    <t>Registros que existían</t>
  </si>
  <si>
    <t>Encontrados correctos</t>
  </si>
  <si>
    <t>La exhaustividad mira el otro lado de la moneda: de todos los registros que realmente existían sobre cada tema, ¿cuántos se lograron encontrar dentro de los 10 minutos? Con Excel se encontró el 46,4% (13 de 28) y con el aplicativo el 71,9% (23 de 32). Dicho de forma llana: con el método tradicional se quedó sin encontrar más de la mitad de la información existente, mientras que con el aplicativo se recuperaron unas 7 de cada 10 lecciones disponibles, y en menos tiempo. Los totales de la tabla (28 y 32) difieren por el sorteo de categorías explicado al inicio; al comparar porcentajes y no conteos, esa diferencia de tamaño no favorece a ninguna herramienta.</t>
  </si>
  <si>
    <t>4. ¿Cuántos aciertos por minuto? (rendimiento)</t>
  </si>
  <si>
    <t>Rendimiento medio (aciertos/min)</t>
  </si>
  <si>
    <t>El rendimiento combina las dos cosas anteriores: cuántos registros correctos se obtienen por cada minuto de búsqueda. Excel produjo en promedio 0,33 aciertos por minuto (un registro correcto cada 3 minutos, aproximadamente) y el aplicativo 0,66 (un registro correcto cada minuto y medio). El aplicativo duplicó el ritmo de hallazgo del método tradicional.</t>
  </si>
  <si>
    <t>5. ¿Qué tan satisfechas quedaron las usuarias?</t>
  </si>
  <si>
    <t>Respuestas 1-2 (desacuerdo)</t>
  </si>
  <si>
    <t>Respuestas 3 (neutral)</t>
  </si>
  <si>
    <t>Respuestas 4-5 (acuerdo)</t>
  </si>
  <si>
    <t>Media (1-5)</t>
  </si>
  <si>
    <t>La satisfacción se midió con 9 afirmaciones sobre facilidad, utilidad y eficiencia, calificadas de 1 ("totalmente en desacuerdo") a 5 ("totalmente de acuerdo") por cada participante, es decir 18 respuestas por herramienta. Con Excel, 12 de las 18 respuestas fueron de desacuerdo y ninguna alcanzó el nivel 5; la calificación típica (mediana) fue 2. Con el aplicativo ocurrió lo contrario: las 18 respuestas fueron de acuerdo (4 o 5) y la mediana fue 5, la máxima posible. La media (2,22 frente a 4,83) resume esa distancia: la experiencia con el aplicativo fue calificada de forma consistentemente positiva por ambas usuarias.</t>
  </si>
  <si>
    <t>6. Un matiz importante: la confianza no siempre coincidió con la realidad</t>
  </si>
  <si>
    <t>Al terminar cada tarea se preguntó qué tan segura se sentía la participante de haber encontrado todo (1 a 5). En dos tareas del aplicativo la confianza fue máxima (5) pese a que se había encontrado solo entre el 50% y el 60% de lo existente; en cambio, en una tarea el resultado fue perfecto (100%) con una confianza de apenas 3. La agilidad del aplicativo puede producir una sensación de "ya lo tengo todo" antes de tiempo. Ambas participantes se mostraron sorprendidas (4 de 5) al conocer sus resultados reales. Este hallazgo no desvirtúa la superioridad observada del aplicativo; señala una oportunidad de mejora: que la herramienta ayude también a dimensionar cuánto falta por revisar. El detalle caso por caso está en la hoja "Analisis de errores".</t>
  </si>
  <si>
    <t>7. Conclusión</t>
  </si>
  <si>
    <t>Finalmente concluimos que, en esta prueba piloto, el aplicativo web superó al método tradicional en los tres indicadores comprometidos: requirió menos tiempo por búsqueda (8,75 frente a 10 minutos, terminando antes del límite en 3 de 4 tareas), fue más preciso (79,3% frente a 68,4% de aciertos sobre lo declarado, y 71,9% frente a 46,4% de recuperación de lo existente, duplicando el rendimiento por minuto) y generó una satisfacción claramente superior (4,83 frente a 2,22 sobre 5). Las respuestas abiertas de las participantes coinciden con estos números: ambas eligieron el aplicativo destacando su rapidez, la información consolidada y la facilidad de uso. Estos resultados, obtenidos con 2 participantes en un entorno controlado, deben leerse como evidencia exploratoria favorable al prototipo, no como una demostración estadística generalizable.</t>
  </si>
  <si>
    <t>Elaborado en Microsoft Excel (software de cálculo estadístico descriptivo). Todas las cifras provienen por fórmula de las hojas "Metricas por tarea" y "Encuestas"; si esos datos cambian, este informe se actualiza automáticamente.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</si>
</sst>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h:mm:ss"/>
    <numFmt numFmtId="165" formatCode="0.0%"/>
    <numFmt numFmtId="166" formatCode="0.0"/>
  </numFmts>
  <fonts count="14" x14ac:knownFonts="1">
    <font>
      <sz val="11"/>
      <color theme="1"/>
      <name val="Calibri"/>
      <family val="2"/>
      <charset val="1"/>
    </font>
    <font>
      <b/>
      <sz val="10"/>
      <color rgb="FFFFFFFF"/>
      <name val="Arial"/>
      <charset val="1"/>
    </font>
    <font>
      <sz val="10"/>
      <name val="Arial"/>
      <charset val="1"/>
    </font>
    <font>
      <i/>
      <sz val="9"/>
      <color rgb="FF666666"/>
      <name val="Arial"/>
      <charset val="1"/>
    </font>
    <font>
      <b/>
      <sz val="9"/>
      <color rgb="FFFFFFFF"/>
      <name val="Arial"/>
      <charset val="1"/>
    </font>
    <font>
      <b/>
      <sz val="14"/>
      <color rgb="FF1F4E5F"/>
      <name val="Arial"/>
      <charset val="1"/>
    </font>
    <font>
      <b/>
      <sz val="11"/>
      <color rgb="FF1F4E5F"/>
      <name val="Arial"/>
      <charset val="1"/>
    </font>
    <font>
      <b/>
      <sz val="10"/>
      <name val="Arial"/>
      <charset val="1"/>
    </font>
    <font>
      <b/>
      <sz val="10"/>
      <color rgb="FF843C0C"/>
      <name val="Arial"/>
      <charset val="1"/>
    </font>
    <font>
      <b/>
      <sz val="12"/>
      <color rgb="FF1F4E5F"/>
      <name val="Arial"/>
      <charset val="1"/>
    </font>
    <font>
      <sz val="9"/>
      <color rgb="FF888888"/>
      <name val="Arial"/>
      <charset val="1"/>
    </font>
    <font>
      <i/>
      <sz val="9"/>
      <name val="Arial"/>
      <charset val="1"/>
    </font>
    <font>
      <b/>
      <sz val="16"/>
      <color rgb="FF1F4E5F"/>
      <name val="Arial"/>
      <charset val="1"/>
    </font>
    <font>
      <sz val="10"/>
      <color rgb="FF333333"/>
      <name val="Arial"/>
      <charset val="1"/>
    </font>
  </fonts>
  <fills count="8">
    <fill>
      <patternFill patternType="none"/>
    </fill>
    <fill>
      <patternFill patternType="gray125"/>
    </fill>
    <fill>
      <patternFill patternType="solid">
        <fgColor rgb="FF1F4E5F"/>
        <bgColor rgb="FF333333"/>
      </patternFill>
    </fill>
    <fill>
      <patternFill patternType="solid">
        <fgColor rgb="FFFFF2CC"/>
        <bgColor rgb="FFFCE4D6"/>
      </patternFill>
    </fill>
    <fill>
      <patternFill patternType="solid">
        <fgColor rgb="FFD9E1F2"/>
        <bgColor rgb="FFDDEBF7"/>
      </patternFill>
    </fill>
    <fill>
      <patternFill patternType="solid">
        <fgColor rgb="FFE2EFDA"/>
        <bgColor rgb="FFDDEBF7"/>
      </patternFill>
    </fill>
    <fill>
      <patternFill patternType="solid">
        <fgColor rgb="FFFCE4D6"/>
        <bgColor rgb="FFFFF2CC"/>
      </patternFill>
    </fill>
    <fill>
      <patternFill patternType="solid">
        <fgColor rgb="FFDDEBF7"/>
        <bgColor rgb="FFD9E1F2"/>
      </patternFill>
    </fill>
  </fills>
  <borders count="7">
    <border>
      <left/>
      <right/>
      <top/>
      <bottom/>
      <diagonal/>
    </border>
    <border>
      <left style="thin">
        <color rgb="FFB0B0B0"/>
      </left>
      <right style="thin">
        <color rgb="FFB0B0B0"/>
      </right>
      <top style="thin">
        <color rgb="FFB0B0B0"/>
      </top>
      <bottom style="thin">
        <color rgb="FFB0B0B0"/>
      </bottom>
      <diagonal/>
    </border>
    <border>
      <left style="thin">
        <color rgb="FFC0C0C0"/>
      </left>
      <right style="thin">
        <color rgb="FFC0C0C0"/>
      </right>
      <top style="thin">
        <color rgb="FFC0C0C0"/>
      </top>
      <bottom style="thin">
        <color rgb="FFC0C0C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s>
  <cellStyleXfs count="1">
    <xf numFmtId="0" fontId="0" fillId="0" borderId="0"/>
  </cellStyleXfs>
  <cellXfs count="61">
    <xf numFmtId="0" fontId="0" fillId="0" borderId="0" xfId="0"/>
    <xf numFmtId="0" fontId="0" fillId="0" borderId="0" xfId="0"/>
    <xf numFmtId="0" fontId="1" fillId="2"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vertical="center" wrapText="1"/>
    </xf>
    <xf numFmtId="164" fontId="2" fillId="0" borderId="1" xfId="0" applyNumberFormat="1" applyFont="1" applyBorder="1" applyAlignment="1">
      <alignment horizontal="center" wrapText="1"/>
    </xf>
    <xf numFmtId="20" fontId="2" fillId="3" borderId="1" xfId="0" applyNumberFormat="1" applyFont="1" applyFill="1" applyBorder="1" applyAlignment="1">
      <alignment horizontal="center" wrapText="1"/>
    </xf>
    <xf numFmtId="0" fontId="2" fillId="0" borderId="1" xfId="0" applyFont="1" applyBorder="1" applyAlignment="1">
      <alignment horizont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top" wrapText="1"/>
    </xf>
    <xf numFmtId="0" fontId="4" fillId="2" borderId="1" xfId="0" applyFont="1" applyFill="1" applyBorder="1" applyAlignment="1">
      <alignment horizontal="center" wrapText="1"/>
    </xf>
    <xf numFmtId="165" fontId="2" fillId="5" borderId="1" xfId="0" applyNumberFormat="1" applyFont="1" applyFill="1" applyBorder="1" applyAlignment="1">
      <alignment horizontal="center" wrapText="1"/>
    </xf>
    <xf numFmtId="2" fontId="2" fillId="5" borderId="1" xfId="0" applyNumberFormat="1" applyFont="1" applyFill="1" applyBorder="1" applyAlignment="1">
      <alignment horizontal="center" wrapText="1"/>
    </xf>
    <xf numFmtId="0" fontId="2" fillId="3" borderId="1" xfId="0" applyFont="1" applyFill="1" applyBorder="1" applyAlignment="1">
      <alignment horizontal="center" wrapText="1"/>
    </xf>
    <xf numFmtId="2" fontId="2" fillId="3" borderId="1" xfId="0" applyNumberFormat="1" applyFont="1" applyFill="1" applyBorder="1" applyAlignment="1">
      <alignment horizontal="center" wrapText="1"/>
    </xf>
    <xf numFmtId="0" fontId="5" fillId="0" borderId="0" xfId="0" applyFont="1"/>
    <xf numFmtId="0" fontId="6" fillId="0" borderId="0" xfId="0" applyFont="1"/>
    <xf numFmtId="0" fontId="2" fillId="6" borderId="2" xfId="0" applyFont="1" applyFill="1" applyBorder="1" applyAlignment="1">
      <alignment vertical="top" wrapText="1"/>
    </xf>
    <xf numFmtId="0" fontId="2" fillId="6" borderId="2" xfId="0" applyFont="1" applyFill="1" applyBorder="1" applyAlignment="1">
      <alignment horizontal="center" vertical="center" wrapText="1"/>
    </xf>
    <xf numFmtId="0" fontId="2" fillId="7" borderId="2" xfId="0" applyFont="1" applyFill="1" applyBorder="1" applyAlignment="1">
      <alignment vertical="top" wrapText="1"/>
    </xf>
    <xf numFmtId="0" fontId="2" fillId="7"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2" fontId="2" fillId="5" borderId="1" xfId="0" applyNumberFormat="1" applyFont="1" applyFill="1" applyBorder="1" applyAlignment="1">
      <alignment horizontal="center" vertical="center" wrapText="1"/>
    </xf>
    <xf numFmtId="165" fontId="2" fillId="5" borderId="1" xfId="0" applyNumberFormat="1" applyFont="1" applyFill="1" applyBorder="1" applyAlignment="1">
      <alignment horizontal="center" vertical="center" wrapText="1"/>
    </xf>
    <xf numFmtId="2"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10" fillId="0" borderId="1" xfId="0" applyFont="1" applyBorder="1" applyAlignment="1">
      <alignment horizontal="center" vertical="center" wrapText="1"/>
    </xf>
    <xf numFmtId="9" fontId="2" fillId="0" borderId="1" xfId="0" applyNumberFormat="1" applyFont="1" applyBorder="1" applyAlignment="1">
      <alignment horizontal="center" vertical="center" wrapText="1"/>
    </xf>
    <xf numFmtId="0" fontId="0" fillId="0" borderId="1" xfId="0" applyBorder="1"/>
    <xf numFmtId="0" fontId="2" fillId="0" borderId="2" xfId="0" applyFont="1" applyBorder="1" applyAlignment="1">
      <alignment horizontal="center" vertical="center" wrapText="1"/>
    </xf>
    <xf numFmtId="0" fontId="2" fillId="5" borderId="2" xfId="0" applyFont="1" applyFill="1" applyBorder="1" applyAlignment="1">
      <alignment vertical="top" wrapText="1"/>
    </xf>
    <xf numFmtId="0" fontId="2" fillId="3" borderId="2" xfId="0" applyFont="1" applyFill="1" applyBorder="1" applyAlignment="1">
      <alignment vertical="top" wrapText="1"/>
    </xf>
    <xf numFmtId="0" fontId="7" fillId="5" borderId="2" xfId="0" applyFont="1" applyFill="1" applyBorder="1" applyAlignment="1">
      <alignment vertical="top" wrapText="1"/>
    </xf>
    <xf numFmtId="0" fontId="7" fillId="7" borderId="2" xfId="0" applyFont="1" applyFill="1" applyBorder="1" applyAlignment="1">
      <alignment vertical="top" wrapText="1"/>
    </xf>
    <xf numFmtId="0" fontId="7" fillId="3" borderId="2" xfId="0" applyFont="1" applyFill="1" applyBorder="1" applyAlignment="1">
      <alignment vertical="top" wrapText="1"/>
    </xf>
    <xf numFmtId="0" fontId="7" fillId="6" borderId="2" xfId="0" applyFont="1" applyFill="1" applyBorder="1" applyAlignment="1">
      <alignment vertical="top" wrapText="1"/>
    </xf>
    <xf numFmtId="0" fontId="12" fillId="0" borderId="0" xfId="0" applyFont="1"/>
    <xf numFmtId="0" fontId="9" fillId="0" borderId="0" xfId="0" applyFont="1"/>
    <xf numFmtId="166"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3" fillId="0" borderId="0" xfId="0" applyFont="1"/>
    <xf numFmtId="0" fontId="2" fillId="0" borderId="2" xfId="0" applyFont="1" applyBorder="1" applyAlignment="1">
      <alignment vertical="top" wrapText="1"/>
    </xf>
    <xf numFmtId="0" fontId="4" fillId="2"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3" xfId="0" applyBorder="1"/>
    <xf numFmtId="0" fontId="0" fillId="0" borderId="4" xfId="0" applyBorder="1"/>
    <xf numFmtId="0" fontId="3" fillId="0" borderId="0" xfId="0" applyFont="1" applyAlignment="1">
      <alignment vertical="top" wrapText="1"/>
    </xf>
    <xf numFmtId="0" fontId="0" fillId="0" borderId="0" xfId="0"/>
    <xf numFmtId="0" fontId="3" fillId="0" borderId="0" xfId="0" applyFont="1"/>
    <xf numFmtId="0" fontId="8" fillId="3" borderId="0" xfId="0" applyFont="1" applyFill="1" applyAlignment="1">
      <alignment vertical="top" wrapText="1"/>
    </xf>
    <xf numFmtId="0" fontId="7" fillId="0" borderId="0" xfId="0" applyFont="1"/>
    <xf numFmtId="0" fontId="2" fillId="0" borderId="0" xfId="0" applyFont="1" applyAlignment="1">
      <alignment vertical="top" wrapText="1"/>
    </xf>
    <xf numFmtId="0" fontId="11" fillId="0" borderId="2" xfId="0" applyFont="1" applyBorder="1" applyAlignment="1">
      <alignment vertical="top" wrapText="1"/>
    </xf>
    <xf numFmtId="0" fontId="0" fillId="0" borderId="6" xfId="0" applyBorder="1"/>
    <xf numFmtId="0" fontId="2" fillId="0" borderId="2" xfId="0" applyFont="1" applyBorder="1" applyAlignment="1">
      <alignment vertical="top" wrapText="1"/>
    </xf>
    <xf numFmtId="0" fontId="0" fillId="0" borderId="5" xfId="0" applyBorder="1"/>
    <xf numFmtId="0" fontId="4" fillId="2" borderId="2" xfId="0" applyFont="1" applyFill="1" applyBorder="1" applyAlignment="1">
      <alignment horizontal="center" vertical="center" wrapText="1"/>
    </xf>
    <xf numFmtId="0" fontId="13" fillId="0" borderId="0" xfId="0" applyFont="1" applyAlignment="1">
      <alignment vertical="top" wrapText="1"/>
    </xf>
    <xf numFmtId="0" fontId="13" fillId="3"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FFF99"/>
      <rgbColor rgb="FFB3B3B3"/>
      <rgbColor rgb="FFFF99CC"/>
      <rgbColor rgb="FFCC99FF"/>
      <rgbColor rgb="FFFCE4D6"/>
      <rgbColor rgb="FF4F81BD"/>
      <rgbColor rgb="FF33CCCC"/>
      <rgbColor rgb="FF99CC00"/>
      <rgbColor rgb="FFFFCC00"/>
      <rgbColor rgb="FFFF9900"/>
      <rgbColor rgb="FFFF6600"/>
      <rgbColor rgb="FF666666"/>
      <rgbColor rgb="FFB0B0B0"/>
      <rgbColor rgb="FF1F4E5F"/>
      <rgbColor rgb="FF339966"/>
      <rgbColor rgb="FF003300"/>
      <rgbColor rgb="FF333300"/>
      <rgbColor rgb="FF843C0C"/>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defRPr sz="2000" b="0" i="0" strike="noStrike" kern="1200" spc="0" normalizeH="0" baseline="0">
                <a:solidFill>
                  <a:schemeClr val="tx1">
                    <a:lumMod val="65000"/>
                    <a:lumOff val="35000"/>
                  </a:schemeClr>
                </a:solidFill>
                <a:latin typeface="+mj-lt"/>
                <a:ea typeface="+mj-ea"/>
                <a:cs typeface="+mj-cs"/>
              </a:defRPr>
            </a:pPr>
            <a:r>
              <a:rPr lang="es-CO" sz="1600" b="1" i="1" strike="noStrike" normalizeH="0" baseline="0"/>
              <a:t>Tiempo Promedio de Búsqueda por Categoría</a:t>
            </a:r>
            <a:endParaRPr lang="es-ES" sz="1600"/>
          </a:p>
        </c:rich>
      </c:tx>
      <c:overlay val="0"/>
      <c:spPr>
        <a:noFill/>
        <a:ln>
          <a:noFill/>
          <a:prstDash val="solid"/>
        </a:ln>
      </c:spPr>
    </c:title>
    <c:autoTitleDeleted val="0"/>
    <c:plotArea>
      <c:layout/>
      <c:barChart>
        <c:barDir val="col"/>
        <c:grouping val="clustered"/>
        <c:varyColors val="0"/>
        <c:ser>
          <c:idx val="0"/>
          <c:order val="0"/>
          <c:tx>
            <c:strRef>
              <c:f>'Informe Estadistico'!$B$10</c:f>
              <c:strCache>
                <c:ptCount val="1"/>
                <c:pt idx="0">
                  <c:v>Media (min)</c:v>
                </c:pt>
              </c:strCache>
            </c:strRef>
          </c:tx>
          <c:spPr>
            <a:solidFill>
              <a:schemeClr val="accent1"/>
            </a:solidFill>
            <a:ln>
              <a:noFill/>
              <a:prstDash val="solid"/>
            </a:ln>
          </c:spPr>
          <c:invertIfNegative val="0"/>
          <c:dPt>
            <c:idx val="0"/>
            <c:invertIfNegative val="0"/>
            <c:bubble3D val="0"/>
            <c:spPr>
              <a:solidFill>
                <a:srgbClr val="92D050"/>
              </a:solidFill>
              <a:ln>
                <a:noFill/>
                <a:prstDash val="solid"/>
              </a:ln>
            </c:spPr>
            <c:extLst>
              <c:ext xmlns:c16="http://schemas.microsoft.com/office/drawing/2014/chart" uri="{C3380CC4-5D6E-409C-BE32-E72D297353CC}">
                <c16:uniqueId val="{00000001-3037-401A-BAAD-F3FE48BC40B8}"/>
              </c:ext>
            </c:extLst>
          </c:dPt>
          <c:dPt>
            <c:idx val="1"/>
            <c:invertIfNegative val="0"/>
            <c:bubble3D val="0"/>
            <c:spPr>
              <a:solidFill>
                <a:srgbClr val="00B0F0"/>
              </a:solidFill>
              <a:ln>
                <a:noFill/>
                <a:prstDash val="solid"/>
              </a:ln>
            </c:spPr>
            <c:extLst>
              <c:ext xmlns:c16="http://schemas.microsoft.com/office/drawing/2014/chart" uri="{C3380CC4-5D6E-409C-BE32-E72D297353CC}">
                <c16:uniqueId val="{00000003-3037-401A-BAAD-F3FE48BC40B8}"/>
              </c:ext>
            </c:extLst>
          </c:dPt>
          <c:dLbls>
            <c:dLbl>
              <c:idx val="1"/>
              <c:spPr>
                <a:noFill/>
                <a:ln>
                  <a:noFill/>
                  <a:prstDash val="solid"/>
                </a:ln>
              </c:spPr>
              <c:txPr>
                <a:bodyPr rot="0" spcFirstLastPara="1" vertOverflow="ellipsis" vert="horz" wrap="square" lIns="38100" tIns="19050" rIns="38100" bIns="19050" anchor="ctr" anchorCtr="0">
                  <a:sp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6="http://schemas.microsoft.com/office/drawing/2014/chart" uri="{C3380CC4-5D6E-409C-BE32-E72D297353CC}">
                  <c16:uniqueId val="{00000003-3037-401A-BAAD-F3FE48BC40B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'Informe Estadistico'!$A$11:$A$12</c:f>
              <c:strCache>
                <c:ptCount val="2"/>
                <c:pt idx="0">
                  <c:v>Excel</c:v>
                </c:pt>
                <c:pt idx="1">
                  <c:v>Aplicativo web</c:v>
                </c:pt>
              </c:strCache>
            </c:strRef>
          </c:cat>
          <c:val>
            <c:numRef>
              <c:f>'Informe Estadistico'!$B$11:$B$12</c:f>
              <c:numCache>
                <c:formatCode>0.00</c:formatCode>
                <c:ptCount val="2"/>
                <c:pt idx="0">
                  <c:v>10</c:v>
                </c:pt>
                <c:pt idx="1">
                  <c:v>8.75</c:v>
                </c:pt>
              </c:numCache>
            </c:numRef>
          </c:val>
          <c:extLst>
            <c:ext xmlns:c16="http://schemas.microsoft.com/office/drawing/2014/chart" uri="{C3380CC4-5D6E-409C-BE32-E72D297353CC}">
              <c16:uniqueId val="{00000004-3037-401A-BAAD-F3FE48BC40B8}"/>
            </c:ext>
          </c:extLst>
        </c:ser>
        <c:dLbls>
          <c:showLegendKey val="0"/>
          <c:showVal val="0"/>
          <c:showCatName val="0"/>
          <c:showSerName val="0"/>
          <c:showPercent val="0"/>
          <c:showBubbleSize val="0"/>
        </c:dLbls>
        <c:gapWidth val="199"/>
        <c:axId val="71002525"/>
        <c:axId val="67347434"/>
      </c:barChart>
      <c:catAx>
        <c:axId val="71002525"/>
        <c:scaling>
          <c:orientation val="minMax"/>
        </c:scaling>
        <c:delete val="0"/>
        <c:axPos val="b"/>
        <c:title>
          <c:tx>
            <c:rich>
              <a:bodyPr rot="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Herramienta de busqueda</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spc="0" normalizeH="0" baseline="0">
                <a:solidFill>
                  <a:schemeClr val="tx1">
                    <a:lumMod val="65000"/>
                    <a:lumOff val="35000"/>
                  </a:schemeClr>
                </a:solidFill>
                <a:latin typeface="+mn-lt"/>
                <a:ea typeface="+mn-ea"/>
                <a:cs typeface="+mn-cs"/>
              </a:defRPr>
            </a:pPr>
            <a:endParaRPr lang="es-ES"/>
          </a:p>
        </c:txPr>
        <c:crossAx val="67347434"/>
        <c:crosses val="autoZero"/>
        <c:auto val="1"/>
        <c:lblAlgn val="ctr"/>
        <c:lblOffset val="100"/>
        <c:noMultiLvlLbl val="0"/>
      </c:catAx>
      <c:valAx>
        <c:axId val="67347434"/>
        <c:scaling>
          <c:orientation val="minMax"/>
        </c:scaling>
        <c:delete val="0"/>
        <c:axPos val="l"/>
        <c:majorGridlines>
          <c:spPr>
            <a:ln w="9525" cap="flat" cmpd="sng" algn="ctr">
              <a:solidFill>
                <a:schemeClr val="tx1">
                  <a:lumMod val="15000"/>
                  <a:lumOff val="85000"/>
                </a:schemeClr>
              </a:solidFill>
              <a:prstDash val="solid"/>
              <a:round/>
            </a:ln>
          </c:spPr>
        </c:majorGridlines>
        <c:minorGridlines>
          <c:spPr>
            <a:ln w="9525" cap="flat" cmpd="sng" algn="ctr">
              <a:solidFill>
                <a:schemeClr val="tx1">
                  <a:lumMod val="5000"/>
                  <a:lumOff val="95000"/>
                </a:schemeClr>
              </a:solidFill>
              <a:prstDash val="solid"/>
              <a:round/>
            </a:ln>
          </c:spPr>
        </c:minorGridlines>
        <c:title>
          <c:tx>
            <c: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Minutos</a:t>
                </a:r>
              </a:p>
            </c:rich>
          </c:tx>
          <c:overlay val="0"/>
          <c:spPr>
            <a:noFill/>
            <a:ln>
              <a:noFill/>
              <a:prstDash val="solid"/>
            </a:ln>
          </c:spPr>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7100252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defRPr sz="1600" b="0" i="0" strike="noStrike" kern="1200" spc="0" normalizeH="0" baseline="0">
                <a:solidFill>
                  <a:schemeClr val="tx1">
                    <a:lumMod val="65000"/>
                    <a:lumOff val="35000"/>
                  </a:schemeClr>
                </a:solidFill>
                <a:latin typeface="+mj-lt"/>
                <a:ea typeface="+mj-ea"/>
                <a:cs typeface="+mj-cs"/>
              </a:defRPr>
            </a:pPr>
            <a:r>
              <a:rPr lang="es-ES" sz="1600"/>
              <a:t>Precisión: % de aciertos sobre lo declarado</a:t>
            </a:r>
          </a:p>
        </c:rich>
      </c:tx>
      <c:overlay val="0"/>
      <c:spPr>
        <a:noFill/>
        <a:ln>
          <a:noFill/>
          <a:prstDash val="solid"/>
        </a:ln>
      </c:spPr>
    </c:title>
    <c:autoTitleDeleted val="0"/>
    <c:plotArea>
      <c:layout/>
      <c:barChart>
        <c:barDir val="col"/>
        <c:grouping val="clustered"/>
        <c:varyColors val="0"/>
        <c:ser>
          <c:idx val="0"/>
          <c:order val="0"/>
          <c:tx>
            <c:strRef>
              <c:f>'Informe Estadistico'!$D$32</c:f>
              <c:strCache>
                <c:ptCount val="1"/>
                <c:pt idx="0">
                  <c:v>Precisión</c:v>
                </c:pt>
              </c:strCache>
            </c:strRef>
          </c:tx>
          <c:spPr>
            <a:solidFill>
              <a:srgbClr val="00B0F0"/>
            </a:solidFill>
            <a:ln>
              <a:noFill/>
              <a:prstDash val="solid"/>
            </a:ln>
          </c:spPr>
          <c:invertIfNegative val="0"/>
          <c:dPt>
            <c:idx val="0"/>
            <c:invertIfNegative val="0"/>
            <c:bubble3D val="0"/>
            <c:spPr>
              <a:solidFill>
                <a:srgbClr val="92D050"/>
              </a:solidFill>
              <a:ln>
                <a:noFill/>
                <a:prstDash val="solid"/>
              </a:ln>
            </c:spPr>
            <c:extLst>
              <c:ext xmlns:c16="http://schemas.microsoft.com/office/drawing/2014/chart" uri="{C3380CC4-5D6E-409C-BE32-E72D297353CC}">
                <c16:uniqueId val="{00000001-4A5F-4CE0-89B4-80ECE2362C5D}"/>
              </c:ext>
            </c:extLst>
          </c:dPt>
          <c:dLbls>
            <c:dLbl>
              <c:idx val="0"/>
              <c:spPr>
                <a:noFill/>
                <a:ln>
                  <a:noFill/>
                  <a:prstDash val="solid"/>
                </a:ln>
              </c:spPr>
              <c:txPr>
                <a:bodyPr rot="0" spcFirstLastPara="1" vertOverflow="ellipsis" vert="horz" wrap="square" lIns="38100" tIns="19050" rIns="38100" bIns="19050" anchor="ctr" anchorCtr="0">
                  <a:sp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6="http://schemas.microsoft.com/office/drawing/2014/chart" uri="{C3380CC4-5D6E-409C-BE32-E72D297353CC}">
                  <c16:uniqueId val="{00000001-4A5F-4CE0-89B4-80ECE2362C5D}"/>
                </c:ext>
              </c:extLst>
            </c:dLbl>
            <c:dLbl>
              <c:idx val="1"/>
              <c:spPr>
                <a:noFill/>
                <a:ln>
                  <a:noFill/>
                  <a:prstDash val="solid"/>
                </a:ln>
              </c:spPr>
              <c:txPr>
                <a:bodyPr rot="0" spcFirstLastPara="1" vertOverflow="ellipsis" vert="horz" wrap="square" lIns="38100" tIns="19050" rIns="38100" bIns="19050" anchor="ctr" anchorCtr="0">
                  <a:sp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6="http://schemas.microsoft.com/office/drawing/2014/chart" uri="{C3380CC4-5D6E-409C-BE32-E72D297353CC}">
                  <c16:uniqueId val="{00000002-4A5F-4CE0-89B4-80ECE2362C5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'Informe Estadistico'!$A$33:$A$34</c:f>
              <c:strCache>
                <c:ptCount val="2"/>
                <c:pt idx="0">
                  <c:v>Excel</c:v>
                </c:pt>
                <c:pt idx="1">
                  <c:v>Aplicativo web</c:v>
                </c:pt>
              </c:strCache>
            </c:strRef>
          </c:cat>
          <c:val>
            <c:numRef>
              <c:f>'Informe Estadistico'!$D$33:$D$34</c:f>
              <c:numCache>
                <c:formatCode>0.0%</c:formatCode>
                <c:ptCount val="2"/>
                <c:pt idx="0">
                  <c:v>0.68421052631578949</c:v>
                </c:pt>
                <c:pt idx="1">
                  <c:v>0.7931034482758621</c:v>
                </c:pt>
              </c:numCache>
            </c:numRef>
          </c:val>
          <c:extLst>
            <c:ext xmlns:c16="http://schemas.microsoft.com/office/drawing/2014/chart" uri="{C3380CC4-5D6E-409C-BE32-E72D297353CC}">
              <c16:uniqueId val="{00000003-4A5F-4CE0-89B4-80ECE2362C5D}"/>
            </c:ext>
          </c:extLst>
        </c:ser>
        <c:dLbls>
          <c:showLegendKey val="0"/>
          <c:showVal val="0"/>
          <c:showCatName val="0"/>
          <c:showSerName val="0"/>
          <c:showPercent val="0"/>
          <c:showBubbleSize val="0"/>
        </c:dLbls>
        <c:gapWidth val="199"/>
        <c:axId val="28220651"/>
        <c:axId val="79106026"/>
      </c:barChart>
      <c:catAx>
        <c:axId val="28220651"/>
        <c:scaling>
          <c:orientation val="minMax"/>
        </c:scaling>
        <c:delete val="0"/>
        <c:axPos val="b"/>
        <c:title>
          <c:tx>
            <c:rich>
              <a:bodyPr rot="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Herramientas de busqueda</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spc="0" normalizeH="0" baseline="0">
                <a:solidFill>
                  <a:schemeClr val="tx1">
                    <a:lumMod val="65000"/>
                    <a:lumOff val="35000"/>
                  </a:schemeClr>
                </a:solidFill>
                <a:latin typeface="+mn-lt"/>
                <a:ea typeface="+mn-ea"/>
                <a:cs typeface="+mn-cs"/>
              </a:defRPr>
            </a:pPr>
            <a:endParaRPr lang="es-ES"/>
          </a:p>
        </c:txPr>
        <c:crossAx val="79106026"/>
        <c:crosses val="autoZero"/>
        <c:auto val="1"/>
        <c:lblAlgn val="ctr"/>
        <c:lblOffset val="100"/>
        <c:noMultiLvlLbl val="0"/>
      </c:catAx>
      <c:valAx>
        <c:axId val="79106026"/>
        <c:scaling>
          <c:orientation val="minMax"/>
        </c:scaling>
        <c:delete val="0"/>
        <c:axPos val="l"/>
        <c:majorGridlines>
          <c:spPr>
            <a:ln w="9525" cap="flat" cmpd="sng" algn="ctr">
              <a:solidFill>
                <a:schemeClr val="tx1">
                  <a:lumMod val="15000"/>
                  <a:lumOff val="85000"/>
                </a:schemeClr>
              </a:solidFill>
              <a:prstDash val="solid"/>
              <a:round/>
            </a:ln>
          </c:spPr>
        </c:majorGridlines>
        <c:minorGridlines>
          <c:spPr>
            <a:ln w="9525" cap="flat" cmpd="sng" algn="ctr">
              <a:solidFill>
                <a:schemeClr val="tx1">
                  <a:lumMod val="5000"/>
                  <a:lumOff val="95000"/>
                </a:schemeClr>
              </a:solidFill>
              <a:prstDash val="solid"/>
              <a:round/>
            </a:ln>
          </c:spPr>
        </c:minorGridlines>
        <c:title>
          <c:tx>
            <c: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Porcentaje</a:t>
                </a:r>
                <a:r>
                  <a:rPr lang="es-ES" baseline="0"/>
                  <a:t> de</a:t>
                </a:r>
                <a:r>
                  <a:rPr lang="es-ES" sz="900" b="0" i="0" strike="noStrike" kern="1200" cap="all" baseline="0">
                    <a:solidFill>
                      <a:srgbClr val="000000"/>
                    </a:solidFill>
                  </a:rPr>
                  <a:t>Precisión</a:t>
                </a:r>
                <a:endParaRPr lang="es-ES"/>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28220651"/>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defRPr sz="2000" b="0" i="0" strike="noStrike" kern="1200" spc="0" normalizeH="0" baseline="0">
                <a:solidFill>
                  <a:schemeClr val="tx1">
                    <a:lumMod val="65000"/>
                    <a:lumOff val="35000"/>
                  </a:schemeClr>
                </a:solidFill>
                <a:latin typeface="+mj-lt"/>
                <a:ea typeface="+mj-ea"/>
                <a:cs typeface="+mj-cs"/>
              </a:defRPr>
            </a:pPr>
            <a:r>
              <a:rPr lang="es-ES"/>
              <a:t>Precisión y exhaustividad por herramienta</a:t>
            </a:r>
          </a:p>
        </c:rich>
      </c:tx>
      <c:overlay val="0"/>
      <c:spPr>
        <a:noFill/>
        <a:ln>
          <a:noFill/>
          <a:prstDash val="solid"/>
        </a:ln>
      </c:spPr>
    </c:title>
    <c:autoTitleDeleted val="0"/>
    <c:plotArea>
      <c:layout/>
      <c:barChart>
        <c:barDir val="col"/>
        <c:grouping val="clustered"/>
        <c:varyColors val="0"/>
        <c:ser>
          <c:idx val="0"/>
          <c:order val="0"/>
          <c:tx>
            <c:strRef>
              <c:f>'Informe Estadistico'!$D$32</c:f>
              <c:strCache>
                <c:ptCount val="1"/>
                <c:pt idx="0">
                  <c:v>Precisión</c:v>
                </c:pt>
              </c:strCache>
            </c:strRef>
          </c:tx>
          <c:spPr>
            <a:solidFill>
              <a:srgbClr val="FFC000"/>
            </a:solidFill>
            <a:ln>
              <a:noFill/>
              <a:prstDash val="solid"/>
            </a:ln>
          </c:spPr>
          <c:invertIfNegative val="0"/>
          <c:dLbls>
            <c:dLbl>
              <c:idx val="0"/>
              <c:spPr>
                <a:noFill/>
                <a:ln>
                  <a:noFill/>
                  <a:prstDash val="solid"/>
                </a:ln>
              </c:spPr>
              <c:txPr>
                <a:bodyPr rot="0" spcFirstLastPara="1" vertOverflow="ellipsis" vert="horz" wrap="square" lIns="38100" tIns="19050" rIns="38100" bIns="19050" anchor="ctr" anchorCtr="0">
                  <a:no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B0AE-4811-868E-364D9036F9FE}"/>
                </c:ext>
              </c:extLst>
            </c:dLbl>
            <c:dLbl>
              <c:idx val="1"/>
              <c:spPr>
                <a:noFill/>
                <a:ln>
                  <a:noFill/>
                  <a:prstDash val="solid"/>
                </a:ln>
              </c:spPr>
              <c:txPr>
                <a:bodyPr rot="0" spcFirstLastPara="1" vertOverflow="ellipsis" vert="horz" wrap="square" lIns="38100" tIns="19050" rIns="38100" bIns="19050" anchor="ctr" anchorCtr="0">
                  <a:sp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6="http://schemas.microsoft.com/office/drawing/2014/chart" uri="{C3380CC4-5D6E-409C-BE32-E72D297353CC}">
                  <c16:uniqueId val="{00000001-B0AE-4811-868E-364D9036F9F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'Informe Estadistico'!$A$33:$A$34</c:f>
              <c:strCache>
                <c:ptCount val="2"/>
                <c:pt idx="0">
                  <c:v>Excel</c:v>
                </c:pt>
                <c:pt idx="1">
                  <c:v>Aplicativo web</c:v>
                </c:pt>
              </c:strCache>
            </c:strRef>
          </c:cat>
          <c:val>
            <c:numRef>
              <c:f>'Informe Estadistico'!$D$33:$D$34</c:f>
              <c:numCache>
                <c:formatCode>0.0%</c:formatCode>
                <c:ptCount val="2"/>
                <c:pt idx="0">
                  <c:v>0.68421052631578949</c:v>
                </c:pt>
                <c:pt idx="1">
                  <c:v>0.7931034482758621</c:v>
                </c:pt>
              </c:numCache>
            </c:numRef>
          </c:val>
          <c:extLst>
            <c:ext xmlns:c16="http://schemas.microsoft.com/office/drawing/2014/chart" uri="{C3380CC4-5D6E-409C-BE32-E72D297353CC}">
              <c16:uniqueId val="{00000002-B0AE-4811-868E-364D9036F9FE}"/>
            </c:ext>
          </c:extLst>
        </c:ser>
        <c:ser>
          <c:idx val="1"/>
          <c:order val="1"/>
          <c:tx>
            <c:strRef>
              <c:f>'Informe Estadistico'!$D$53</c:f>
              <c:strCache>
                <c:ptCount val="1"/>
                <c:pt idx="0">
                  <c:v>Exhaustividad</c:v>
                </c:pt>
              </c:strCache>
            </c:strRef>
          </c:tx>
          <c:spPr>
            <a:solidFill>
              <a:schemeClr val="accent6">
                <a:lumMod val="50000"/>
              </a:schemeClr>
            </a:solidFill>
            <a:ln>
              <a:noFill/>
              <a:prstDash val="solid"/>
            </a:ln>
          </c:spPr>
          <c:invertIfNegative val="0"/>
          <c:dLbls>
            <c:dLbl>
              <c:idx val="0"/>
              <c:spPr>
                <a:noFill/>
                <a:ln>
                  <a:noFill/>
                  <a:prstDash val="solid"/>
                </a:ln>
              </c:spPr>
              <c:txPr>
                <a:bodyPr rot="0" spcFirstLastPara="1" vertOverflow="ellipsis" vert="horz" wrap="square" lIns="38100" tIns="19050" rIns="38100" bIns="19050" anchor="ctr" anchorCtr="0">
                  <a:sp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6="http://schemas.microsoft.com/office/drawing/2014/chart" uri="{C3380CC4-5D6E-409C-BE32-E72D297353CC}">
                  <c16:uniqueId val="{00000003-B0AE-4811-868E-364D9036F9FE}"/>
                </c:ext>
              </c:extLst>
            </c:dLbl>
            <c:dLbl>
              <c:idx val="1"/>
              <c:spPr>
                <a:noFill/>
                <a:ln>
                  <a:noFill/>
                  <a:prstDash val="solid"/>
                </a:ln>
              </c:spPr>
              <c:txPr>
                <a:bodyPr rot="0" spcFirstLastPara="1" vertOverflow="ellipsis" vert="horz" wrap="square" lIns="38100" tIns="19050" rIns="38100" bIns="19050" anchor="ctr" anchorCtr="0">
                  <a:spAutoFit/>
                </a:bodyPr>
                <a:lstStyle/>
                <a:p>
                  <a:pPr algn="l">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extLst>
                <c:ext xmlns:c16="http://schemas.microsoft.com/office/drawing/2014/chart" uri="{C3380CC4-5D6E-409C-BE32-E72D297353CC}">
                  <c16:uniqueId val="{00000004-B0AE-4811-868E-364D9036F9F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s-E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'Informe Estadistico'!$A$54:$A$55</c:f>
              <c:strCache>
                <c:ptCount val="2"/>
                <c:pt idx="0">
                  <c:v>Excel</c:v>
                </c:pt>
                <c:pt idx="1">
                  <c:v>Aplicativo web</c:v>
                </c:pt>
              </c:strCache>
            </c:strRef>
          </c:cat>
          <c:val>
            <c:numRef>
              <c:f>'Informe Estadistico'!$D$54:$D$55</c:f>
              <c:numCache>
                <c:formatCode>0.0%</c:formatCode>
                <c:ptCount val="2"/>
                <c:pt idx="0">
                  <c:v>0.4642857142857143</c:v>
                </c:pt>
                <c:pt idx="1">
                  <c:v>0.71875</c:v>
                </c:pt>
              </c:numCache>
            </c:numRef>
          </c:val>
          <c:extLst>
            <c:ext xmlns:c16="http://schemas.microsoft.com/office/drawing/2014/chart" uri="{C3380CC4-5D6E-409C-BE32-E72D297353CC}">
              <c16:uniqueId val="{00000005-B0AE-4811-868E-364D9036F9FE}"/>
            </c:ext>
          </c:extLst>
        </c:ser>
        <c:dLbls>
          <c:showLegendKey val="0"/>
          <c:showVal val="0"/>
          <c:showCatName val="0"/>
          <c:showSerName val="0"/>
          <c:showPercent val="0"/>
          <c:showBubbleSize val="0"/>
        </c:dLbls>
        <c:gapWidth val="199"/>
        <c:axId val="69983674"/>
        <c:axId val="21138987"/>
      </c:barChart>
      <c:catAx>
        <c:axId val="69983674"/>
        <c:scaling>
          <c:orientation val="minMax"/>
        </c:scaling>
        <c:delete val="0"/>
        <c:axPos val="b"/>
        <c:title>
          <c:tx>
            <c:rich>
              <a:bodyPr rot="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Herramientas</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spc="0" normalizeH="0" baseline="0">
                <a:solidFill>
                  <a:schemeClr val="tx1">
                    <a:lumMod val="65000"/>
                    <a:lumOff val="35000"/>
                  </a:schemeClr>
                </a:solidFill>
                <a:latin typeface="+mn-lt"/>
                <a:ea typeface="+mn-ea"/>
                <a:cs typeface="+mn-cs"/>
              </a:defRPr>
            </a:pPr>
            <a:endParaRPr lang="es-ES"/>
          </a:p>
        </c:txPr>
        <c:crossAx val="21138987"/>
        <c:crosses val="autoZero"/>
        <c:auto val="1"/>
        <c:lblAlgn val="ctr"/>
        <c:lblOffset val="100"/>
        <c:noMultiLvlLbl val="0"/>
      </c:catAx>
      <c:valAx>
        <c:axId val="21138987"/>
        <c:scaling>
          <c:orientation val="minMax"/>
        </c:scaling>
        <c:delete val="0"/>
        <c:axPos val="l"/>
        <c:majorGridlines>
          <c:spPr>
            <a:ln w="9525" cap="flat" cmpd="sng" algn="ctr">
              <a:solidFill>
                <a:schemeClr val="tx1">
                  <a:lumMod val="15000"/>
                  <a:lumOff val="85000"/>
                </a:schemeClr>
              </a:solidFill>
              <a:prstDash val="solid"/>
              <a:round/>
            </a:ln>
          </c:spPr>
        </c:majorGridlines>
        <c:minorGridlines>
          <c:spPr>
            <a:ln w="9525" cap="flat" cmpd="sng" algn="ctr">
              <a:solidFill>
                <a:schemeClr val="tx1">
                  <a:lumMod val="5000"/>
                  <a:lumOff val="95000"/>
                </a:schemeClr>
              </a:solidFill>
              <a:prstDash val="solid"/>
              <a:round/>
            </a:ln>
          </c:spPr>
        </c:minorGridlines>
        <c:title>
          <c:tx>
            <c: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ES"/>
                  <a:t>Porcentaje</a:t>
                </a:r>
              </a:p>
            </c:rich>
          </c:tx>
          <c:overlay val="0"/>
          <c:spPr>
            <a:noFill/>
            <a:ln>
              <a:noFill/>
              <a:prstDash val="solid"/>
            </a:ln>
          </c:spPr>
        </c:title>
        <c:numFmt formatCode="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ES"/>
          </a:p>
        </c:txPr>
        <c:crossAx val="6998367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s-ES" sz="1800" b="1" strike="noStrike">
                <a:solidFill>
                  <a:srgbClr val="000000"/>
                </a:solidFill>
                <a:uFillTx/>
                <a:latin typeface="Calibri"/>
              </a:rPr>
              <a:t>Rendimiento (aciertos por minuto)</a:t>
            </a:r>
          </a:p>
        </c:rich>
      </c:tx>
      <c:overlay val="0"/>
      <c:spPr>
        <a:noFill/>
        <a:ln w="0">
          <a:noFill/>
          <a:prstDash val="solid"/>
        </a:ln>
      </c:spPr>
    </c:title>
    <c:autoTitleDeleted val="0"/>
    <c:plotArea>
      <c:layout/>
      <c:barChart>
        <c:barDir val="col"/>
        <c:grouping val="clustered"/>
        <c:varyColors val="0"/>
        <c:ser>
          <c:idx val="0"/>
          <c:order val="0"/>
          <c:tx>
            <c:strRef>
              <c:f>'Informe Estadistico'!$B$74</c:f>
              <c:strCache>
                <c:ptCount val="1"/>
                <c:pt idx="0">
                  <c:v>Rendimiento medio (aciertos/min)</c:v>
                </c:pt>
              </c:strCache>
            </c:strRef>
          </c:tx>
          <c:spPr>
            <a:solidFill>
              <a:srgbClr val="4F81BD"/>
            </a:solidFill>
            <a:ln w="1260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s-E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'Informe Estadistico'!$A$75:$A$76</c:f>
              <c:strCache>
                <c:ptCount val="2"/>
                <c:pt idx="0">
                  <c:v>Excel</c:v>
                </c:pt>
                <c:pt idx="1">
                  <c:v>Aplicativo web</c:v>
                </c:pt>
              </c:strCache>
            </c:strRef>
          </c:cat>
          <c:val>
            <c:numRef>
              <c:f>'Informe Estadistico'!$B$75:$B$76</c:f>
              <c:numCache>
                <c:formatCode>0.00</c:formatCode>
                <c:ptCount val="2"/>
                <c:pt idx="0">
                  <c:v>0.32500000000000001</c:v>
                </c:pt>
                <c:pt idx="1">
                  <c:v>0.65694444444444444</c:v>
                </c:pt>
              </c:numCache>
            </c:numRef>
          </c:val>
          <c:extLst>
            <c:ext xmlns:c16="http://schemas.microsoft.com/office/drawing/2014/chart" uri="{C3380CC4-5D6E-409C-BE32-E72D297353CC}">
              <c16:uniqueId val="{00000000-F7ED-4C95-B11D-C36E5A0FA002}"/>
            </c:ext>
          </c:extLst>
        </c:ser>
        <c:dLbls>
          <c:showLegendKey val="0"/>
          <c:showVal val="0"/>
          <c:showCatName val="0"/>
          <c:showSerName val="0"/>
          <c:showPercent val="0"/>
          <c:showBubbleSize val="0"/>
        </c:dLbls>
        <c:gapWidth val="150"/>
        <c:axId val="6900130"/>
        <c:axId val="19869904"/>
      </c:barChart>
      <c:catAx>
        <c:axId val="6900130"/>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es-ES"/>
          </a:p>
        </c:txPr>
        <c:crossAx val="19869904"/>
        <c:crosses val="autoZero"/>
        <c:auto val="1"/>
        <c:lblAlgn val="ctr"/>
        <c:lblOffset val="100"/>
        <c:noMultiLvlLbl val="0"/>
      </c:catAx>
      <c:valAx>
        <c:axId val="19869904"/>
        <c:scaling>
          <c:orientation val="minMax"/>
        </c:scaling>
        <c:delete val="0"/>
        <c:axPos val="l"/>
        <c:majorGridlines>
          <c:spPr>
            <a:ln w="0">
              <a:solidFill>
                <a:srgbClr val="B3B3B3"/>
              </a:solidFill>
              <a:prstDash val="solid"/>
            </a:ln>
          </c:spPr>
        </c:majorGridlines>
        <c:numFmt formatCode="0.00" sourceLinked="1"/>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es-ES"/>
          </a:p>
        </c:txPr>
        <c:crossAx val="690013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s-ES" sz="1800" b="1" strike="noStrike">
                <a:solidFill>
                  <a:srgbClr val="000000"/>
                </a:solidFill>
                <a:uFillTx/>
                <a:latin typeface="Calibri"/>
              </a:rPr>
              <a:t>Satisfacción media (escala 1 a 5)</a:t>
            </a:r>
          </a:p>
        </c:rich>
      </c:tx>
      <c:overlay val="0"/>
      <c:spPr>
        <a:noFill/>
        <a:ln w="0">
          <a:noFill/>
          <a:prstDash val="solid"/>
        </a:ln>
      </c:spPr>
    </c:title>
    <c:autoTitleDeleted val="0"/>
    <c:plotArea>
      <c:layout/>
      <c:barChart>
        <c:barDir val="col"/>
        <c:grouping val="clustered"/>
        <c:varyColors val="0"/>
        <c:ser>
          <c:idx val="0"/>
          <c:order val="0"/>
          <c:tx>
            <c:strRef>
              <c:f>'Informe Estadistico'!$E$95</c:f>
              <c:strCache>
                <c:ptCount val="1"/>
                <c:pt idx="0">
                  <c:v>Media (1-5)</c:v>
                </c:pt>
              </c:strCache>
            </c:strRef>
          </c:tx>
          <c:spPr>
            <a:solidFill>
              <a:srgbClr val="4F81BD"/>
            </a:solidFill>
            <a:ln w="1260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s-ES"/>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'Informe Estadistico'!$A$96:$A$97</c:f>
              <c:strCache>
                <c:ptCount val="2"/>
                <c:pt idx="0">
                  <c:v>Excel</c:v>
                </c:pt>
                <c:pt idx="1">
                  <c:v>Aplicativo web</c:v>
                </c:pt>
              </c:strCache>
            </c:strRef>
          </c:cat>
          <c:val>
            <c:numRef>
              <c:f>'Informe Estadistico'!$E$96:$E$97</c:f>
              <c:numCache>
                <c:formatCode>0.00</c:formatCode>
                <c:ptCount val="2"/>
                <c:pt idx="0">
                  <c:v>2.2222222222222223</c:v>
                </c:pt>
                <c:pt idx="1">
                  <c:v>4.833333333333333</c:v>
                </c:pt>
              </c:numCache>
            </c:numRef>
          </c:val>
          <c:extLst>
            <c:ext xmlns:c16="http://schemas.microsoft.com/office/drawing/2014/chart" uri="{C3380CC4-5D6E-409C-BE32-E72D297353CC}">
              <c16:uniqueId val="{00000000-9B1B-4009-B4A9-2DF096CA48E4}"/>
            </c:ext>
          </c:extLst>
        </c:ser>
        <c:dLbls>
          <c:showLegendKey val="0"/>
          <c:showVal val="0"/>
          <c:showCatName val="0"/>
          <c:showSerName val="0"/>
          <c:showPercent val="0"/>
          <c:showBubbleSize val="0"/>
        </c:dLbls>
        <c:gapWidth val="150"/>
        <c:axId val="62008733"/>
        <c:axId val="28788116"/>
      </c:barChart>
      <c:catAx>
        <c:axId val="62008733"/>
        <c:scaling>
          <c:orientation val="minMax"/>
        </c:scaling>
        <c:delete val="0"/>
        <c:axPos val="b"/>
        <c:numFmt formatCode="General" sourceLinked="1"/>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es-ES"/>
          </a:p>
        </c:txPr>
        <c:crossAx val="28788116"/>
        <c:crosses val="autoZero"/>
        <c:auto val="1"/>
        <c:lblAlgn val="ctr"/>
        <c:lblOffset val="100"/>
        <c:noMultiLvlLbl val="0"/>
      </c:catAx>
      <c:valAx>
        <c:axId val="28788116"/>
        <c:scaling>
          <c:orientation val="minMax"/>
        </c:scaling>
        <c:delete val="0"/>
        <c:axPos val="l"/>
        <c:majorGridlines>
          <c:spPr>
            <a:ln w="0">
              <a:solidFill>
                <a:srgbClr val="B3B3B3"/>
              </a:solidFill>
              <a:prstDash val="solid"/>
            </a:ln>
          </c:spPr>
        </c:majorGridlines>
        <c:numFmt formatCode="0.00" sourceLinked="1"/>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es-ES"/>
          </a:p>
        </c:txPr>
        <c:crossAx val="6200873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691764</xdr:colOff>
      <xdr:row>15</xdr:row>
      <xdr:rowOff>95416</xdr:rowOff>
    </xdr:from>
    <xdr:to>
      <xdr:col>4</xdr:col>
      <xdr:colOff>348575</xdr:colOff>
      <xdr:row>28</xdr:row>
      <xdr:rowOff>138616</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890546</xdr:colOff>
      <xdr:row>36</xdr:row>
      <xdr:rowOff>135172</xdr:rowOff>
    </xdr:from>
    <xdr:to>
      <xdr:col>4</xdr:col>
      <xdr:colOff>547357</xdr:colOff>
      <xdr:row>49</xdr:row>
      <xdr:rowOff>178372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874642</xdr:colOff>
      <xdr:row>57</xdr:row>
      <xdr:rowOff>55659</xdr:rowOff>
    </xdr:from>
    <xdr:to>
      <xdr:col>5</xdr:col>
      <xdr:colOff>739471</xdr:colOff>
      <xdr:row>72</xdr:row>
      <xdr:rowOff>23854</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78</xdr:row>
      <xdr:rowOff>0</xdr:rowOff>
    </xdr:from>
    <xdr:to>
      <xdr:col>3</xdr:col>
      <xdr:colOff>873360</xdr:colOff>
      <xdr:row>91</xdr:row>
      <xdr:rowOff>43200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99</xdr:row>
      <xdr:rowOff>0</xdr:rowOff>
    </xdr:from>
    <xdr:to>
      <xdr:col>3</xdr:col>
      <xdr:colOff>873360</xdr:colOff>
      <xdr:row>112</xdr:row>
      <xdr:rowOff>42840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zoomScaleNormal="100" workbookViewId="0">
      <pane ySplit="1" topLeftCell="A2" activePane="bottomLeft" state="frozen"/>
      <selection activeCell="C1" sqref="C1"/>
      <selection pane="bottomLeft" activeCell="L13" sqref="L13"/>
    </sheetView>
  </sheetViews>
  <sheetFormatPr baseColWidth="10" defaultColWidth="8.6640625" defaultRowHeight="15.05" x14ac:dyDescent="0.3"/>
  <cols>
    <col min="1" max="1" width="5" style="1" customWidth="1"/>
    <col min="2" max="2" width="12" style="1" customWidth="1"/>
    <col min="3" max="3" width="13" style="1" customWidth="1"/>
    <col min="4" max="4" width="22" style="1" customWidth="1"/>
    <col min="5" max="5" width="14" style="1" customWidth="1"/>
    <col min="6" max="6" width="34" style="1" customWidth="1"/>
    <col min="7" max="7" width="26" style="1" customWidth="1"/>
    <col min="8" max="8" width="10" style="1" customWidth="1"/>
    <col min="9" max="9" width="9" style="1" customWidth="1"/>
    <col min="10" max="10" width="11" style="1" customWidth="1"/>
    <col min="11" max="12" width="13" style="1" customWidth="1"/>
    <col min="13" max="13" width="34" style="1" customWidth="1"/>
  </cols>
  <sheetData>
    <row r="1" spans="1:13" ht="23.35" customHeight="1" x14ac:dyDescent="0.3">
      <c r="A1" s="2" t="s">
        <v>0</v>
      </c>
      <c r="B1" s="2" t="s">
        <v>1</v>
      </c>
      <c r="C1" s="2" t="s">
        <v>2</v>
      </c>
      <c r="D1" s="2" t="s">
        <v>3</v>
      </c>
      <c r="E1" s="2" t="s">
        <v>4</v>
      </c>
      <c r="F1" s="2" t="s">
        <v>5</v>
      </c>
      <c r="G1" s="2" t="s">
        <v>6</v>
      </c>
      <c r="H1" s="2" t="s">
        <v>7</v>
      </c>
      <c r="I1" s="2" t="s">
        <v>8</v>
      </c>
      <c r="J1" s="2" t="s">
        <v>9</v>
      </c>
      <c r="K1" s="2" t="s">
        <v>10</v>
      </c>
      <c r="L1" s="2" t="s">
        <v>11</v>
      </c>
      <c r="M1" s="2" t="s">
        <v>12</v>
      </c>
    </row>
    <row r="2" spans="1:13" ht="33.85" customHeight="1" x14ac:dyDescent="0.3">
      <c r="A2" s="3">
        <v>1</v>
      </c>
      <c r="B2" s="3" t="s">
        <v>13</v>
      </c>
      <c r="C2" s="3" t="s">
        <v>14</v>
      </c>
      <c r="D2" s="4" t="s">
        <v>15</v>
      </c>
      <c r="E2" s="3" t="s">
        <v>16</v>
      </c>
      <c r="F2" s="4" t="s">
        <v>17</v>
      </c>
      <c r="G2" s="4" t="s">
        <v>18</v>
      </c>
      <c r="H2" s="3">
        <v>1</v>
      </c>
      <c r="I2" s="3">
        <v>2</v>
      </c>
      <c r="J2" s="5">
        <v>46224.920393518521</v>
      </c>
      <c r="K2" s="6">
        <v>0.20347222222222219</v>
      </c>
      <c r="L2" s="6">
        <v>0.2104166666666667</v>
      </c>
      <c r="M2" s="4" t="s">
        <v>19</v>
      </c>
    </row>
    <row r="3" spans="1:13" ht="33.85" customHeight="1" x14ac:dyDescent="0.3">
      <c r="A3" s="3">
        <v>2</v>
      </c>
      <c r="B3" s="3" t="s">
        <v>13</v>
      </c>
      <c r="C3" s="3" t="s">
        <v>14</v>
      </c>
      <c r="D3" s="4" t="s">
        <v>20</v>
      </c>
      <c r="E3" s="3" t="s">
        <v>16</v>
      </c>
      <c r="F3" s="4" t="s">
        <v>21</v>
      </c>
      <c r="G3" s="4" t="s">
        <v>18</v>
      </c>
      <c r="H3" s="3">
        <v>2</v>
      </c>
      <c r="I3" s="3">
        <v>2</v>
      </c>
      <c r="J3" s="5">
        <v>46224.931076388893</v>
      </c>
      <c r="K3" s="6">
        <v>0.21388888888888891</v>
      </c>
      <c r="L3" s="6">
        <v>0.2208333333333333</v>
      </c>
      <c r="M3" s="4" t="s">
        <v>22</v>
      </c>
    </row>
    <row r="4" spans="1:13" ht="33.85" customHeight="1" x14ac:dyDescent="0.3">
      <c r="A4" s="3">
        <v>3</v>
      </c>
      <c r="B4" s="3" t="s">
        <v>13</v>
      </c>
      <c r="C4" s="3" t="s">
        <v>14</v>
      </c>
      <c r="D4" s="4" t="s">
        <v>23</v>
      </c>
      <c r="E4" s="3" t="s">
        <v>24</v>
      </c>
      <c r="F4" s="4" t="s">
        <v>25</v>
      </c>
      <c r="G4" s="4" t="s">
        <v>26</v>
      </c>
      <c r="H4" s="3">
        <v>5</v>
      </c>
      <c r="I4" s="3">
        <v>7</v>
      </c>
      <c r="J4" s="5">
        <v>46224.940393518518</v>
      </c>
      <c r="K4" s="6">
        <v>0.22500000000000001</v>
      </c>
      <c r="L4" s="6">
        <v>0.2305555555555556</v>
      </c>
      <c r="M4" s="4" t="s">
        <v>27</v>
      </c>
    </row>
    <row r="5" spans="1:13" ht="23.35" customHeight="1" x14ac:dyDescent="0.3">
      <c r="A5" s="3">
        <v>4</v>
      </c>
      <c r="B5" s="3" t="s">
        <v>13</v>
      </c>
      <c r="C5" s="3" t="s">
        <v>14</v>
      </c>
      <c r="D5" s="4" t="s">
        <v>28</v>
      </c>
      <c r="E5" s="3" t="s">
        <v>24</v>
      </c>
      <c r="F5" s="4" t="s">
        <v>29</v>
      </c>
      <c r="G5" s="4" t="s">
        <v>26</v>
      </c>
      <c r="H5" s="3">
        <v>5</v>
      </c>
      <c r="I5" s="3">
        <v>7</v>
      </c>
      <c r="J5" s="5">
        <v>46224.948113425933</v>
      </c>
      <c r="K5" s="6">
        <v>0.23333333333333331</v>
      </c>
      <c r="L5" s="6">
        <v>0.2388888888888889</v>
      </c>
      <c r="M5" s="4" t="s">
        <v>30</v>
      </c>
    </row>
    <row r="6" spans="1:13" ht="33.85" customHeight="1" x14ac:dyDescent="0.3">
      <c r="A6" s="3">
        <v>5</v>
      </c>
      <c r="B6" s="3" t="s">
        <v>14</v>
      </c>
      <c r="C6" s="3" t="s">
        <v>13</v>
      </c>
      <c r="D6" s="4" t="s">
        <v>31</v>
      </c>
      <c r="E6" s="3" t="s">
        <v>24</v>
      </c>
      <c r="F6" s="4" t="s">
        <v>32</v>
      </c>
      <c r="G6" s="4" t="s">
        <v>18</v>
      </c>
      <c r="H6" s="3">
        <v>3</v>
      </c>
      <c r="I6" s="3">
        <v>7</v>
      </c>
      <c r="J6" s="5">
        <v>46224.920497685183</v>
      </c>
      <c r="K6" s="6">
        <v>0.20347222222222219</v>
      </c>
      <c r="L6" s="6">
        <v>0.2104166666666667</v>
      </c>
      <c r="M6" s="4" t="s">
        <v>33</v>
      </c>
    </row>
    <row r="7" spans="1:13" ht="57" customHeight="1" x14ac:dyDescent="0.3">
      <c r="A7" s="3">
        <v>6</v>
      </c>
      <c r="B7" s="3" t="s">
        <v>14</v>
      </c>
      <c r="C7" s="3" t="s">
        <v>13</v>
      </c>
      <c r="D7" s="4" t="s">
        <v>34</v>
      </c>
      <c r="E7" s="3" t="s">
        <v>24</v>
      </c>
      <c r="F7" s="4" t="s">
        <v>35</v>
      </c>
      <c r="G7" s="4" t="s">
        <v>26</v>
      </c>
      <c r="H7" s="3">
        <v>5</v>
      </c>
      <c r="I7" s="3">
        <v>7</v>
      </c>
      <c r="J7" s="5">
        <v>46224.929942129631</v>
      </c>
      <c r="K7" s="6">
        <v>0.21388888888888891</v>
      </c>
      <c r="L7" s="6">
        <v>0.22013888888888891</v>
      </c>
      <c r="M7" s="4" t="s">
        <v>36</v>
      </c>
    </row>
    <row r="8" spans="1:13" ht="23.35" customHeight="1" x14ac:dyDescent="0.3">
      <c r="A8" s="3">
        <v>7</v>
      </c>
      <c r="B8" s="3" t="s">
        <v>14</v>
      </c>
      <c r="C8" s="3" t="s">
        <v>13</v>
      </c>
      <c r="D8" s="4" t="s">
        <v>37</v>
      </c>
      <c r="E8" s="3" t="s">
        <v>16</v>
      </c>
      <c r="F8" s="4" t="s">
        <v>38</v>
      </c>
      <c r="G8" s="4" t="s">
        <v>18</v>
      </c>
      <c r="H8" s="3">
        <v>2</v>
      </c>
      <c r="I8" s="3">
        <v>1</v>
      </c>
      <c r="J8" s="5">
        <v>46224.940868055557</v>
      </c>
      <c r="K8" s="6">
        <v>0.22500000000000001</v>
      </c>
      <c r="L8" s="6">
        <v>0.23194444444444451</v>
      </c>
      <c r="M8" s="4" t="s">
        <v>39</v>
      </c>
    </row>
    <row r="9" spans="1:13" ht="33.85" customHeight="1" x14ac:dyDescent="0.3">
      <c r="A9" s="3">
        <v>8</v>
      </c>
      <c r="B9" s="3" t="s">
        <v>14</v>
      </c>
      <c r="C9" s="3" t="s">
        <v>13</v>
      </c>
      <c r="D9" s="4" t="s">
        <v>40</v>
      </c>
      <c r="E9" s="3" t="s">
        <v>16</v>
      </c>
      <c r="F9" s="4" t="s">
        <v>41</v>
      </c>
      <c r="G9" s="4" t="s">
        <v>18</v>
      </c>
      <c r="H9" s="3">
        <v>3</v>
      </c>
      <c r="I9" s="3">
        <v>4</v>
      </c>
      <c r="J9" s="5">
        <v>46224.94903935185</v>
      </c>
      <c r="K9" s="6">
        <v>0.23333333333333331</v>
      </c>
      <c r="L9" s="6">
        <v>0.24027777777777781</v>
      </c>
      <c r="M9" s="4" t="s">
        <v>42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zoomScaleNormal="100" workbookViewId="0"/>
  </sheetViews>
  <sheetFormatPr baseColWidth="10" defaultColWidth="8.6640625" defaultRowHeight="15.05" x14ac:dyDescent="0.3"/>
  <cols>
    <col min="1" max="1" width="50" style="1" customWidth="1"/>
    <col min="2" max="2" width="18" style="1" customWidth="1"/>
    <col min="3" max="3" width="13" style="1" customWidth="1"/>
    <col min="4" max="4" width="15" style="1" customWidth="1"/>
    <col min="5" max="5" width="13" style="1" customWidth="1"/>
    <col min="6" max="6" width="15" style="1" customWidth="1"/>
  </cols>
  <sheetData>
    <row r="1" spans="1:6" ht="15.05" customHeight="1" x14ac:dyDescent="0.3">
      <c r="A1" s="42" t="s">
        <v>43</v>
      </c>
    </row>
    <row r="3" spans="1:6" ht="23.35" customHeight="1" x14ac:dyDescent="0.3">
      <c r="A3" s="2" t="s">
        <v>44</v>
      </c>
      <c r="B3" s="2" t="s">
        <v>45</v>
      </c>
      <c r="C3" s="2" t="s">
        <v>46</v>
      </c>
      <c r="D3" s="2" t="s">
        <v>47</v>
      </c>
      <c r="E3" s="2" t="s">
        <v>48</v>
      </c>
      <c r="F3" s="2" t="s">
        <v>49</v>
      </c>
    </row>
    <row r="4" spans="1:6" ht="15.05" customHeight="1" x14ac:dyDescent="0.3">
      <c r="A4" s="4" t="s">
        <v>50</v>
      </c>
      <c r="B4" s="45" t="s">
        <v>51</v>
      </c>
      <c r="C4" s="7">
        <v>2</v>
      </c>
      <c r="D4" s="7">
        <v>5</v>
      </c>
      <c r="E4" s="7">
        <v>2</v>
      </c>
      <c r="F4" s="7">
        <v>4</v>
      </c>
    </row>
    <row r="5" spans="1:6" ht="15.05" customHeight="1" x14ac:dyDescent="0.3">
      <c r="A5" s="4" t="s">
        <v>52</v>
      </c>
      <c r="B5" s="46"/>
      <c r="C5" s="7">
        <v>3</v>
      </c>
      <c r="D5" s="7">
        <v>5</v>
      </c>
      <c r="E5" s="7">
        <v>2</v>
      </c>
      <c r="F5" s="7">
        <v>4</v>
      </c>
    </row>
    <row r="6" spans="1:6" ht="15.05" customHeight="1" x14ac:dyDescent="0.3">
      <c r="A6" s="4" t="s">
        <v>53</v>
      </c>
      <c r="B6" s="47"/>
      <c r="C6" s="7">
        <v>3</v>
      </c>
      <c r="D6" s="7">
        <v>5</v>
      </c>
      <c r="E6" s="7">
        <v>3</v>
      </c>
      <c r="F6" s="7">
        <v>4</v>
      </c>
    </row>
    <row r="7" spans="1:6" ht="23.35" customHeight="1" x14ac:dyDescent="0.3">
      <c r="A7" s="4" t="s">
        <v>54</v>
      </c>
      <c r="B7" s="45" t="s">
        <v>55</v>
      </c>
      <c r="C7" s="7">
        <v>2</v>
      </c>
      <c r="D7" s="7">
        <v>5</v>
      </c>
      <c r="E7" s="7">
        <v>1</v>
      </c>
      <c r="F7" s="7">
        <v>5</v>
      </c>
    </row>
    <row r="8" spans="1:6" ht="23.35" customHeight="1" x14ac:dyDescent="0.3">
      <c r="A8" s="4" t="s">
        <v>56</v>
      </c>
      <c r="B8" s="47"/>
      <c r="C8" s="7">
        <v>2</v>
      </c>
      <c r="D8" s="7">
        <v>5</v>
      </c>
      <c r="E8" s="7">
        <v>1</v>
      </c>
      <c r="F8" s="7">
        <v>5</v>
      </c>
    </row>
    <row r="9" spans="1:6" ht="15.05" customHeight="1" x14ac:dyDescent="0.3">
      <c r="A9" s="4" t="s">
        <v>57</v>
      </c>
      <c r="B9" s="45" t="s">
        <v>58</v>
      </c>
      <c r="C9" s="7">
        <v>4</v>
      </c>
      <c r="D9" s="7">
        <v>5</v>
      </c>
      <c r="E9" s="7">
        <v>2</v>
      </c>
      <c r="F9" s="7">
        <v>5</v>
      </c>
    </row>
    <row r="10" spans="1:6" ht="23.35" customHeight="1" x14ac:dyDescent="0.3">
      <c r="A10" s="4" t="s">
        <v>59</v>
      </c>
      <c r="B10" s="46"/>
      <c r="C10" s="7">
        <v>4</v>
      </c>
      <c r="D10" s="7">
        <v>5</v>
      </c>
      <c r="E10" s="7">
        <v>2</v>
      </c>
      <c r="F10" s="7">
        <v>5</v>
      </c>
    </row>
    <row r="11" spans="1:6" ht="15.05" customHeight="1" x14ac:dyDescent="0.3">
      <c r="A11" s="4" t="s">
        <v>60</v>
      </c>
      <c r="B11" s="46"/>
      <c r="C11" s="7">
        <v>1</v>
      </c>
      <c r="D11" s="7">
        <v>5</v>
      </c>
      <c r="E11" s="7">
        <v>1</v>
      </c>
      <c r="F11" s="7">
        <v>5</v>
      </c>
    </row>
    <row r="12" spans="1:6" ht="15.05" customHeight="1" x14ac:dyDescent="0.3">
      <c r="A12" s="4" t="s">
        <v>61</v>
      </c>
      <c r="B12" s="47"/>
      <c r="C12" s="7">
        <v>4</v>
      </c>
      <c r="D12" s="7">
        <v>5</v>
      </c>
      <c r="E12" s="7">
        <v>1</v>
      </c>
      <c r="F12" s="7">
        <v>5</v>
      </c>
    </row>
    <row r="14" spans="1:6" ht="15.05" customHeight="1" x14ac:dyDescent="0.3">
      <c r="A14" s="42" t="s">
        <v>62</v>
      </c>
    </row>
  </sheetData>
  <mergeCells count="3">
    <mergeCell ref="B4:B6"/>
    <mergeCell ref="B7:B8"/>
    <mergeCell ref="B9:B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zoomScaleNormal="100" workbookViewId="0"/>
  </sheetViews>
  <sheetFormatPr baseColWidth="10" defaultColWidth="8.6640625" defaultRowHeight="15.05" x14ac:dyDescent="0.3"/>
  <cols>
    <col min="1" max="2" width="12" style="1" customWidth="1"/>
    <col min="3" max="3" width="50" style="1" customWidth="1"/>
    <col min="4" max="4" width="16" style="1" customWidth="1"/>
    <col min="5" max="5" width="50" style="1" customWidth="1"/>
  </cols>
  <sheetData>
    <row r="1" spans="1:5" ht="15.05" customHeight="1" x14ac:dyDescent="0.3">
      <c r="A1" s="42" t="s">
        <v>63</v>
      </c>
    </row>
    <row r="3" spans="1:5" ht="23.35" customHeight="1" x14ac:dyDescent="0.3">
      <c r="A3" s="8" t="s">
        <v>1</v>
      </c>
      <c r="B3" s="8" t="s">
        <v>64</v>
      </c>
      <c r="C3" s="8" t="s">
        <v>65</v>
      </c>
      <c r="D3" s="8" t="s">
        <v>66</v>
      </c>
      <c r="E3" s="8" t="s">
        <v>67</v>
      </c>
    </row>
    <row r="4" spans="1:5" ht="90" customHeight="1" x14ac:dyDescent="0.3">
      <c r="A4" s="9" t="s">
        <v>13</v>
      </c>
      <c r="B4" s="9">
        <v>4</v>
      </c>
      <c r="C4" s="10" t="s">
        <v>68</v>
      </c>
      <c r="D4" s="9" t="s">
        <v>24</v>
      </c>
      <c r="E4" s="10" t="s">
        <v>69</v>
      </c>
    </row>
    <row r="5" spans="1:5" ht="90" customHeight="1" x14ac:dyDescent="0.3">
      <c r="A5" s="9" t="s">
        <v>14</v>
      </c>
      <c r="B5" s="9">
        <v>4</v>
      </c>
      <c r="C5" s="10" t="s">
        <v>70</v>
      </c>
      <c r="D5" s="9" t="s">
        <v>24</v>
      </c>
      <c r="E5" s="10" t="s">
        <v>71</v>
      </c>
    </row>
    <row r="7" spans="1:5" ht="15.05" customHeight="1" x14ac:dyDescent="0.3">
      <c r="A7" s="42" t="s">
        <v>72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1"/>
  <sheetViews>
    <sheetView zoomScaleNormal="100" workbookViewId="0">
      <pane ySplit="3" topLeftCell="A4" activePane="bottomLeft" state="frozen"/>
      <selection pane="bottomLeft" activeCell="J10" sqref="J10"/>
    </sheetView>
  </sheetViews>
  <sheetFormatPr baseColWidth="10" defaultColWidth="8.6640625" defaultRowHeight="15.05" x14ac:dyDescent="0.3"/>
  <cols>
    <col min="1" max="1" width="4" style="1" customWidth="1"/>
    <col min="2" max="2" width="11" style="1" customWidth="1"/>
    <col min="3" max="3" width="13" style="1" customWidth="1"/>
    <col min="4" max="4" width="22" style="1" customWidth="1"/>
    <col min="5" max="7" width="10" style="1" customWidth="1"/>
    <col min="8" max="9" width="9" style="1" customWidth="1"/>
    <col min="10" max="10" width="8" style="1" customWidth="1"/>
    <col min="11" max="11" width="10" style="1" customWidth="1"/>
    <col min="12" max="12" width="12" style="1" customWidth="1"/>
    <col min="13" max="13" width="13" style="1" customWidth="1"/>
    <col min="14" max="14" width="10" style="1" customWidth="1"/>
    <col min="15" max="15" width="12" style="1" customWidth="1"/>
  </cols>
  <sheetData>
    <row r="1" spans="1:15" ht="15.05" customHeight="1" x14ac:dyDescent="0.3">
      <c r="A1" s="42" t="s">
        <v>73</v>
      </c>
    </row>
    <row r="3" spans="1:15" ht="32.25" customHeight="1" x14ac:dyDescent="0.3">
      <c r="A3" s="11" t="s">
        <v>0</v>
      </c>
      <c r="B3" s="11" t="s">
        <v>1</v>
      </c>
      <c r="C3" s="11" t="s">
        <v>4</v>
      </c>
      <c r="D3" s="11" t="s">
        <v>3</v>
      </c>
      <c r="E3" s="11" t="s">
        <v>74</v>
      </c>
      <c r="F3" s="11" t="s">
        <v>75</v>
      </c>
      <c r="G3" s="11" t="s">
        <v>76</v>
      </c>
      <c r="H3" s="11" t="s">
        <v>77</v>
      </c>
      <c r="I3" s="11" t="s">
        <v>78</v>
      </c>
      <c r="J3" s="11" t="s">
        <v>79</v>
      </c>
      <c r="K3" s="11" t="s">
        <v>7</v>
      </c>
      <c r="L3" s="11" t="s">
        <v>80</v>
      </c>
      <c r="M3" s="11" t="s">
        <v>81</v>
      </c>
      <c r="N3" s="11" t="s">
        <v>82</v>
      </c>
      <c r="O3" s="11" t="s">
        <v>83</v>
      </c>
    </row>
    <row r="4" spans="1:15" ht="15.05" customHeight="1" x14ac:dyDescent="0.3">
      <c r="A4" s="3">
        <v>1</v>
      </c>
      <c r="B4" s="3" t="s">
        <v>13</v>
      </c>
      <c r="C4" s="3" t="s">
        <v>16</v>
      </c>
      <c r="D4" s="4" t="s">
        <v>15</v>
      </c>
      <c r="E4" s="3">
        <v>9</v>
      </c>
      <c r="F4" s="3">
        <v>5</v>
      </c>
      <c r="G4" s="3">
        <v>5</v>
      </c>
      <c r="H4" s="12">
        <f t="shared" ref="H4:H11" si="0">IFERROR($G4/$E4,"")</f>
        <v>0.55555555555555558</v>
      </c>
      <c r="I4" s="12">
        <f t="shared" ref="I4:I11" si="1">IFERROR($G4/$F4,"")</f>
        <v>1</v>
      </c>
      <c r="J4" s="12">
        <f t="shared" ref="J4:J11" si="2">IFERROR(2*$I4*$H4/($I4+$H4),"")</f>
        <v>0.7142857142857143</v>
      </c>
      <c r="K4" s="3">
        <v>1</v>
      </c>
      <c r="L4" s="13">
        <f t="shared" ref="L4:L11" si="3">IFERROR($K4/5-$H4,"")</f>
        <v>-0.35555555555555557</v>
      </c>
      <c r="M4" s="7" t="s">
        <v>84</v>
      </c>
      <c r="N4" s="14">
        <v>10</v>
      </c>
      <c r="O4" s="15">
        <f t="shared" ref="O4:O11" si="4">IFERROR($G4/$N4,"")</f>
        <v>0.5</v>
      </c>
    </row>
    <row r="5" spans="1:15" ht="15.05" customHeight="1" x14ac:dyDescent="0.3">
      <c r="A5" s="3">
        <v>2</v>
      </c>
      <c r="B5" s="3" t="s">
        <v>13</v>
      </c>
      <c r="C5" s="3" t="s">
        <v>16</v>
      </c>
      <c r="D5" s="4" t="s">
        <v>20</v>
      </c>
      <c r="E5" s="3">
        <v>7</v>
      </c>
      <c r="F5" s="3">
        <v>5</v>
      </c>
      <c r="G5" s="3">
        <v>4</v>
      </c>
      <c r="H5" s="12">
        <f t="shared" si="0"/>
        <v>0.5714285714285714</v>
      </c>
      <c r="I5" s="12">
        <f t="shared" si="1"/>
        <v>0.8</v>
      </c>
      <c r="J5" s="12">
        <f t="shared" si="2"/>
        <v>0.66666666666666663</v>
      </c>
      <c r="K5" s="3">
        <v>2</v>
      </c>
      <c r="L5" s="13">
        <f t="shared" si="3"/>
        <v>-0.17142857142857137</v>
      </c>
      <c r="M5" s="7" t="s">
        <v>84</v>
      </c>
      <c r="N5" s="14">
        <v>10</v>
      </c>
      <c r="O5" s="15">
        <f t="shared" si="4"/>
        <v>0.4</v>
      </c>
    </row>
    <row r="6" spans="1:15" ht="23.35" customHeight="1" x14ac:dyDescent="0.3">
      <c r="A6" s="3">
        <v>3</v>
      </c>
      <c r="B6" s="3" t="s">
        <v>13</v>
      </c>
      <c r="C6" s="3" t="s">
        <v>24</v>
      </c>
      <c r="D6" s="4" t="s">
        <v>23</v>
      </c>
      <c r="E6" s="3">
        <v>10</v>
      </c>
      <c r="F6" s="3">
        <v>6</v>
      </c>
      <c r="G6" s="3">
        <v>6</v>
      </c>
      <c r="H6" s="12">
        <f t="shared" si="0"/>
        <v>0.6</v>
      </c>
      <c r="I6" s="12">
        <f t="shared" si="1"/>
        <v>1</v>
      </c>
      <c r="J6" s="12">
        <f t="shared" si="2"/>
        <v>0.74999999999999989</v>
      </c>
      <c r="K6" s="3">
        <v>5</v>
      </c>
      <c r="L6" s="13">
        <f t="shared" si="3"/>
        <v>0.4</v>
      </c>
      <c r="M6" s="7" t="s">
        <v>84</v>
      </c>
      <c r="N6" s="14">
        <v>8</v>
      </c>
      <c r="O6" s="15">
        <f t="shared" si="4"/>
        <v>0.75</v>
      </c>
    </row>
    <row r="7" spans="1:15" ht="23.35" customHeight="1" x14ac:dyDescent="0.3">
      <c r="A7" s="3">
        <v>4</v>
      </c>
      <c r="B7" s="3" t="s">
        <v>13</v>
      </c>
      <c r="C7" s="3" t="s">
        <v>24</v>
      </c>
      <c r="D7" s="4" t="s">
        <v>28</v>
      </c>
      <c r="E7" s="3">
        <v>8</v>
      </c>
      <c r="F7" s="3">
        <v>4</v>
      </c>
      <c r="G7" s="3">
        <v>4</v>
      </c>
      <c r="H7" s="12">
        <f t="shared" si="0"/>
        <v>0.5</v>
      </c>
      <c r="I7" s="12">
        <f t="shared" si="1"/>
        <v>1</v>
      </c>
      <c r="J7" s="12">
        <f t="shared" si="2"/>
        <v>0.66666666666666663</v>
      </c>
      <c r="K7" s="3">
        <v>5</v>
      </c>
      <c r="L7" s="13">
        <f t="shared" si="3"/>
        <v>0.5</v>
      </c>
      <c r="M7" s="7" t="s">
        <v>84</v>
      </c>
      <c r="N7" s="14">
        <v>8</v>
      </c>
      <c r="O7" s="15">
        <f t="shared" si="4"/>
        <v>0.5</v>
      </c>
    </row>
    <row r="8" spans="1:15" ht="15.05" customHeight="1" x14ac:dyDescent="0.3">
      <c r="A8" s="3">
        <v>5</v>
      </c>
      <c r="B8" s="3" t="s">
        <v>14</v>
      </c>
      <c r="C8" s="3" t="s">
        <v>24</v>
      </c>
      <c r="D8" s="4" t="s">
        <v>31</v>
      </c>
      <c r="E8" s="3">
        <v>6</v>
      </c>
      <c r="F8" s="3">
        <v>6</v>
      </c>
      <c r="G8" s="3">
        <v>6</v>
      </c>
      <c r="H8" s="12">
        <f t="shared" si="0"/>
        <v>1</v>
      </c>
      <c r="I8" s="12">
        <f t="shared" si="1"/>
        <v>1</v>
      </c>
      <c r="J8" s="12">
        <f t="shared" si="2"/>
        <v>1</v>
      </c>
      <c r="K8" s="3">
        <v>3</v>
      </c>
      <c r="L8" s="13">
        <f t="shared" si="3"/>
        <v>-0.4</v>
      </c>
      <c r="M8" s="7" t="s">
        <v>84</v>
      </c>
      <c r="N8" s="14">
        <v>10</v>
      </c>
      <c r="O8" s="15">
        <f t="shared" si="4"/>
        <v>0.6</v>
      </c>
    </row>
    <row r="9" spans="1:15" ht="15.05" customHeight="1" x14ac:dyDescent="0.3">
      <c r="A9" s="3">
        <v>6</v>
      </c>
      <c r="B9" s="3" t="s">
        <v>14</v>
      </c>
      <c r="C9" s="3" t="s">
        <v>24</v>
      </c>
      <c r="D9" s="4" t="s">
        <v>34</v>
      </c>
      <c r="E9" s="3">
        <v>8</v>
      </c>
      <c r="F9" s="3">
        <v>13</v>
      </c>
      <c r="G9" s="3">
        <v>7</v>
      </c>
      <c r="H9" s="12">
        <f t="shared" si="0"/>
        <v>0.875</v>
      </c>
      <c r="I9" s="12">
        <f t="shared" si="1"/>
        <v>0.53846153846153844</v>
      </c>
      <c r="J9" s="12">
        <f t="shared" si="2"/>
        <v>0.66666666666666674</v>
      </c>
      <c r="K9" s="3">
        <v>5</v>
      </c>
      <c r="L9" s="13">
        <f t="shared" si="3"/>
        <v>0.125</v>
      </c>
      <c r="M9" s="7" t="s">
        <v>84</v>
      </c>
      <c r="N9" s="14">
        <v>9</v>
      </c>
      <c r="O9" s="15">
        <f t="shared" si="4"/>
        <v>0.77777777777777779</v>
      </c>
    </row>
    <row r="10" spans="1:15" ht="23.35" customHeight="1" x14ac:dyDescent="0.3">
      <c r="A10" s="3">
        <v>7</v>
      </c>
      <c r="B10" s="3" t="s">
        <v>14</v>
      </c>
      <c r="C10" s="3" t="s">
        <v>16</v>
      </c>
      <c r="D10" s="4" t="s">
        <v>37</v>
      </c>
      <c r="E10" s="3">
        <v>3</v>
      </c>
      <c r="F10" s="3">
        <v>2</v>
      </c>
      <c r="G10" s="3">
        <v>1</v>
      </c>
      <c r="H10" s="12">
        <f t="shared" si="0"/>
        <v>0.33333333333333331</v>
      </c>
      <c r="I10" s="12">
        <f t="shared" si="1"/>
        <v>0.5</v>
      </c>
      <c r="J10" s="12">
        <f t="shared" si="2"/>
        <v>0.4</v>
      </c>
      <c r="K10" s="3">
        <v>2</v>
      </c>
      <c r="L10" s="13">
        <f t="shared" si="3"/>
        <v>6.6666666666666707E-2</v>
      </c>
      <c r="M10" s="7" t="s">
        <v>84</v>
      </c>
      <c r="N10" s="14">
        <v>10</v>
      </c>
      <c r="O10" s="15">
        <f t="shared" si="4"/>
        <v>0.1</v>
      </c>
    </row>
    <row r="11" spans="1:15" ht="33.85" customHeight="1" x14ac:dyDescent="0.3">
      <c r="A11" s="3">
        <v>8</v>
      </c>
      <c r="B11" s="3" t="s">
        <v>14</v>
      </c>
      <c r="C11" s="3" t="s">
        <v>16</v>
      </c>
      <c r="D11" s="4" t="s">
        <v>40</v>
      </c>
      <c r="E11" s="3">
        <v>9</v>
      </c>
      <c r="F11" s="3">
        <v>7</v>
      </c>
      <c r="G11" s="3">
        <v>3</v>
      </c>
      <c r="H11" s="12">
        <f t="shared" si="0"/>
        <v>0.33333333333333331</v>
      </c>
      <c r="I11" s="12">
        <f t="shared" si="1"/>
        <v>0.42857142857142855</v>
      </c>
      <c r="J11" s="12">
        <f t="shared" si="2"/>
        <v>0.375</v>
      </c>
      <c r="K11" s="3">
        <v>3</v>
      </c>
      <c r="L11" s="13">
        <f t="shared" si="3"/>
        <v>0.26666666666666666</v>
      </c>
      <c r="M11" s="7" t="s">
        <v>84</v>
      </c>
      <c r="N11" s="14">
        <v>10</v>
      </c>
      <c r="O11" s="15">
        <f t="shared" si="4"/>
        <v>0.3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topLeftCell="A41" zoomScaleNormal="100" workbookViewId="0">
      <selection activeCell="A26" sqref="A26"/>
    </sheetView>
  </sheetViews>
  <sheetFormatPr baseColWidth="10" defaultColWidth="8.6640625" defaultRowHeight="15.05" x14ac:dyDescent="0.3"/>
  <cols>
    <col min="1" max="1" width="26" style="1" customWidth="1"/>
    <col min="2" max="2" width="11" style="1" customWidth="1"/>
    <col min="3" max="3" width="15" style="1" customWidth="1"/>
    <col min="4" max="4" width="24" style="1" customWidth="1"/>
    <col min="5" max="5" width="22" style="1" customWidth="1"/>
    <col min="6" max="6" width="60" style="1" customWidth="1"/>
  </cols>
  <sheetData>
    <row r="1" spans="1:6" ht="17.25" customHeight="1" x14ac:dyDescent="0.3">
      <c r="A1" s="16" t="s">
        <v>85</v>
      </c>
    </row>
    <row r="2" spans="1:6" ht="41.35" customHeight="1" x14ac:dyDescent="0.3">
      <c r="A2" s="50" t="s">
        <v>86</v>
      </c>
      <c r="B2" s="49"/>
      <c r="C2" s="49"/>
      <c r="D2" s="49"/>
      <c r="E2" s="49"/>
      <c r="F2" s="49"/>
    </row>
    <row r="4" spans="1:6" ht="15.05" customHeight="1" x14ac:dyDescent="0.3">
      <c r="A4" s="17" t="s">
        <v>87</v>
      </c>
    </row>
    <row r="5" spans="1:6" ht="15.05" customHeight="1" x14ac:dyDescent="0.3">
      <c r="A5" s="52" t="s">
        <v>88</v>
      </c>
      <c r="B5" s="49"/>
      <c r="C5" s="49"/>
      <c r="D5" s="49"/>
      <c r="E5" s="49"/>
      <c r="F5" s="49"/>
    </row>
    <row r="6" spans="1:6" ht="43.55" customHeight="1" x14ac:dyDescent="0.3">
      <c r="A6" s="53" t="s">
        <v>89</v>
      </c>
      <c r="B6" s="49"/>
      <c r="C6" s="49"/>
      <c r="D6" s="49"/>
      <c r="E6" s="49"/>
      <c r="F6" s="49"/>
    </row>
    <row r="7" spans="1:6" ht="15.05" customHeight="1" x14ac:dyDescent="0.3">
      <c r="A7" s="52" t="s">
        <v>90</v>
      </c>
      <c r="B7" s="49"/>
      <c r="C7" s="49"/>
      <c r="D7" s="49"/>
      <c r="E7" s="49"/>
      <c r="F7" s="49"/>
    </row>
    <row r="8" spans="1:6" ht="43.55" customHeight="1" x14ac:dyDescent="0.3">
      <c r="A8" s="53" t="s">
        <v>91</v>
      </c>
      <c r="B8" s="49"/>
      <c r="C8" s="49"/>
      <c r="D8" s="49"/>
      <c r="E8" s="49"/>
      <c r="F8" s="49"/>
    </row>
    <row r="9" spans="1:6" ht="15.05" customHeight="1" x14ac:dyDescent="0.3">
      <c r="A9" s="52" t="s">
        <v>92</v>
      </c>
      <c r="B9" s="49"/>
      <c r="C9" s="49"/>
      <c r="D9" s="49"/>
      <c r="E9" s="49"/>
      <c r="F9" s="49"/>
    </row>
    <row r="10" spans="1:6" ht="43.55" customHeight="1" x14ac:dyDescent="0.3">
      <c r="A10" s="53" t="s">
        <v>93</v>
      </c>
      <c r="B10" s="49"/>
      <c r="C10" s="49"/>
      <c r="D10" s="49"/>
      <c r="E10" s="49"/>
      <c r="F10" s="49"/>
    </row>
    <row r="11" spans="1:6" ht="15.05" customHeight="1" x14ac:dyDescent="0.3">
      <c r="A11" s="52" t="s">
        <v>94</v>
      </c>
      <c r="B11" s="49"/>
      <c r="C11" s="49"/>
      <c r="D11" s="49"/>
      <c r="E11" s="49"/>
      <c r="F11" s="49"/>
    </row>
    <row r="12" spans="1:6" ht="43.55" customHeight="1" x14ac:dyDescent="0.3">
      <c r="A12" s="53" t="s">
        <v>95</v>
      </c>
      <c r="B12" s="49"/>
      <c r="C12" s="49"/>
      <c r="D12" s="49"/>
      <c r="E12" s="49"/>
      <c r="F12" s="49"/>
    </row>
    <row r="13" spans="1:6" ht="15.05" customHeight="1" x14ac:dyDescent="0.3">
      <c r="A13" s="52" t="s">
        <v>96</v>
      </c>
      <c r="B13" s="49"/>
      <c r="C13" s="49"/>
      <c r="D13" s="49"/>
      <c r="E13" s="49"/>
      <c r="F13" s="49"/>
    </row>
    <row r="14" spans="1:6" ht="43.55" customHeight="1" x14ac:dyDescent="0.3">
      <c r="A14" s="53" t="s">
        <v>97</v>
      </c>
      <c r="B14" s="49"/>
      <c r="C14" s="49"/>
      <c r="D14" s="49"/>
      <c r="E14" s="49"/>
      <c r="F14" s="49"/>
    </row>
    <row r="16" spans="1:6" ht="43.55" customHeight="1" x14ac:dyDescent="0.3">
      <c r="A16" s="51" t="s">
        <v>98</v>
      </c>
      <c r="B16" s="49"/>
      <c r="C16" s="49"/>
      <c r="D16" s="49"/>
      <c r="E16" s="49"/>
      <c r="F16" s="49"/>
    </row>
    <row r="18" spans="1:6" ht="15.05" customHeight="1" x14ac:dyDescent="0.3">
      <c r="A18" s="17" t="s">
        <v>99</v>
      </c>
    </row>
    <row r="19" spans="1:6" ht="15.05" customHeight="1" x14ac:dyDescent="0.3">
      <c r="A19" s="44" t="s">
        <v>100</v>
      </c>
      <c r="B19" s="44" t="s">
        <v>101</v>
      </c>
      <c r="C19" s="44" t="s">
        <v>102</v>
      </c>
      <c r="D19" s="44" t="s">
        <v>103</v>
      </c>
      <c r="E19" s="44" t="s">
        <v>104</v>
      </c>
      <c r="F19" s="44" t="s">
        <v>105</v>
      </c>
    </row>
    <row r="20" spans="1:6" ht="57.8" customHeight="1" x14ac:dyDescent="0.3">
      <c r="A20" s="18" t="s">
        <v>20</v>
      </c>
      <c r="B20" s="19" t="s">
        <v>106</v>
      </c>
      <c r="C20" s="19" t="s">
        <v>107</v>
      </c>
      <c r="D20" s="18" t="s">
        <v>23</v>
      </c>
      <c r="E20" s="19" t="s">
        <v>108</v>
      </c>
      <c r="F20" s="18" t="s">
        <v>109</v>
      </c>
    </row>
    <row r="21" spans="1:6" ht="57.8" customHeight="1" x14ac:dyDescent="0.3">
      <c r="A21" s="18" t="s">
        <v>34</v>
      </c>
      <c r="B21" s="19" t="s">
        <v>106</v>
      </c>
      <c r="C21" s="19" t="s">
        <v>110</v>
      </c>
      <c r="D21" s="18" t="s">
        <v>111</v>
      </c>
      <c r="E21" s="19" t="s">
        <v>112</v>
      </c>
      <c r="F21" s="18" t="s">
        <v>113</v>
      </c>
    </row>
    <row r="22" spans="1:6" ht="57.8" customHeight="1" x14ac:dyDescent="0.3">
      <c r="A22" s="18" t="s">
        <v>34</v>
      </c>
      <c r="B22" s="19" t="s">
        <v>106</v>
      </c>
      <c r="C22" s="19" t="s">
        <v>114</v>
      </c>
      <c r="D22" s="18" t="s">
        <v>37</v>
      </c>
      <c r="E22" s="19" t="s">
        <v>108</v>
      </c>
      <c r="F22" s="18" t="s">
        <v>115</v>
      </c>
    </row>
    <row r="23" spans="1:6" ht="57.8" customHeight="1" x14ac:dyDescent="0.3">
      <c r="A23" s="18" t="s">
        <v>34</v>
      </c>
      <c r="B23" s="19" t="s">
        <v>106</v>
      </c>
      <c r="C23" s="19" t="s">
        <v>116</v>
      </c>
      <c r="D23" s="18" t="s">
        <v>111</v>
      </c>
      <c r="E23" s="19" t="s">
        <v>112</v>
      </c>
      <c r="F23" s="18" t="s">
        <v>117</v>
      </c>
    </row>
    <row r="24" spans="1:6" ht="57.8" customHeight="1" x14ac:dyDescent="0.3">
      <c r="A24" s="18" t="s">
        <v>34</v>
      </c>
      <c r="B24" s="19" t="s">
        <v>106</v>
      </c>
      <c r="C24" s="19" t="s">
        <v>118</v>
      </c>
      <c r="D24" s="18" t="s">
        <v>111</v>
      </c>
      <c r="E24" s="19" t="s">
        <v>119</v>
      </c>
      <c r="F24" s="18" t="s">
        <v>120</v>
      </c>
    </row>
    <row r="25" spans="1:6" ht="57.8" customHeight="1" x14ac:dyDescent="0.3">
      <c r="A25" s="18" t="s">
        <v>34</v>
      </c>
      <c r="B25" s="19" t="s">
        <v>106</v>
      </c>
      <c r="C25" s="19" t="s">
        <v>121</v>
      </c>
      <c r="D25" s="18" t="s">
        <v>37</v>
      </c>
      <c r="E25" s="19" t="s">
        <v>108</v>
      </c>
      <c r="F25" s="18" t="s">
        <v>122</v>
      </c>
    </row>
    <row r="26" spans="1:6" ht="57.8" customHeight="1" x14ac:dyDescent="0.3">
      <c r="A26" s="18" t="s">
        <v>37</v>
      </c>
      <c r="B26" s="19" t="s">
        <v>16</v>
      </c>
      <c r="C26" s="19" t="s">
        <v>123</v>
      </c>
      <c r="D26" s="18" t="s">
        <v>124</v>
      </c>
      <c r="E26" s="19" t="s">
        <v>108</v>
      </c>
      <c r="F26" s="18" t="s">
        <v>125</v>
      </c>
    </row>
    <row r="27" spans="1:6" ht="57.8" customHeight="1" x14ac:dyDescent="0.3">
      <c r="A27" s="18" t="s">
        <v>124</v>
      </c>
      <c r="B27" s="19" t="s">
        <v>16</v>
      </c>
      <c r="C27" s="19" t="s">
        <v>126</v>
      </c>
      <c r="D27" s="18" t="s">
        <v>31</v>
      </c>
      <c r="E27" s="19" t="s">
        <v>127</v>
      </c>
      <c r="F27" s="18" t="s">
        <v>128</v>
      </c>
    </row>
    <row r="28" spans="1:6" ht="57.8" customHeight="1" x14ac:dyDescent="0.3">
      <c r="A28" s="18" t="s">
        <v>124</v>
      </c>
      <c r="B28" s="19" t="s">
        <v>16</v>
      </c>
      <c r="C28" s="19" t="s">
        <v>129</v>
      </c>
      <c r="D28" s="18" t="s">
        <v>31</v>
      </c>
      <c r="E28" s="19" t="s">
        <v>127</v>
      </c>
      <c r="F28" s="18" t="s">
        <v>130</v>
      </c>
    </row>
    <row r="29" spans="1:6" ht="57.8" customHeight="1" x14ac:dyDescent="0.3">
      <c r="A29" s="18" t="s">
        <v>124</v>
      </c>
      <c r="B29" s="19" t="s">
        <v>16</v>
      </c>
      <c r="C29" s="19" t="s">
        <v>131</v>
      </c>
      <c r="D29" s="18" t="s">
        <v>111</v>
      </c>
      <c r="E29" s="19" t="s">
        <v>112</v>
      </c>
      <c r="F29" s="18" t="s">
        <v>132</v>
      </c>
    </row>
    <row r="30" spans="1:6" ht="57.8" customHeight="1" x14ac:dyDescent="0.3">
      <c r="A30" s="18" t="s">
        <v>124</v>
      </c>
      <c r="B30" s="19" t="s">
        <v>16</v>
      </c>
      <c r="C30" s="19" t="s">
        <v>133</v>
      </c>
      <c r="D30" s="18" t="s">
        <v>111</v>
      </c>
      <c r="E30" s="19" t="s">
        <v>112</v>
      </c>
      <c r="F30" s="18" t="s">
        <v>134</v>
      </c>
    </row>
    <row r="32" spans="1:6" ht="15.05" customHeight="1" x14ac:dyDescent="0.3">
      <c r="A32" s="17" t="s">
        <v>135</v>
      </c>
    </row>
    <row r="33" spans="1:6" ht="15.05" customHeight="1" x14ac:dyDescent="0.3">
      <c r="A33" s="44" t="s">
        <v>136</v>
      </c>
      <c r="B33" s="44" t="s">
        <v>101</v>
      </c>
      <c r="C33" s="44" t="s">
        <v>102</v>
      </c>
      <c r="D33" s="44" t="s">
        <v>137</v>
      </c>
      <c r="E33" s="44" t="s">
        <v>138</v>
      </c>
      <c r="F33" s="44" t="s">
        <v>139</v>
      </c>
    </row>
    <row r="34" spans="1:6" ht="43.55" customHeight="1" x14ac:dyDescent="0.3">
      <c r="A34" s="20" t="s">
        <v>15</v>
      </c>
      <c r="B34" s="21" t="s">
        <v>16</v>
      </c>
      <c r="C34" s="21" t="s">
        <v>140</v>
      </c>
      <c r="D34" s="20" t="s">
        <v>141</v>
      </c>
      <c r="E34" s="21" t="s">
        <v>142</v>
      </c>
      <c r="F34" s="20" t="s">
        <v>143</v>
      </c>
    </row>
    <row r="35" spans="1:6" ht="43.55" customHeight="1" x14ac:dyDescent="0.3">
      <c r="A35" s="20" t="s">
        <v>15</v>
      </c>
      <c r="B35" s="21" t="s">
        <v>16</v>
      </c>
      <c r="C35" s="21" t="s">
        <v>144</v>
      </c>
      <c r="D35" s="20" t="s">
        <v>145</v>
      </c>
      <c r="E35" s="21" t="s">
        <v>142</v>
      </c>
      <c r="F35" s="20" t="s">
        <v>143</v>
      </c>
    </row>
    <row r="36" spans="1:6" ht="43.55" customHeight="1" x14ac:dyDescent="0.3">
      <c r="A36" s="20" t="s">
        <v>15</v>
      </c>
      <c r="B36" s="21" t="s">
        <v>16</v>
      </c>
      <c r="C36" s="21" t="s">
        <v>146</v>
      </c>
      <c r="D36" s="20" t="s">
        <v>147</v>
      </c>
      <c r="E36" s="21" t="s">
        <v>142</v>
      </c>
      <c r="F36" s="20" t="s">
        <v>143</v>
      </c>
    </row>
    <row r="37" spans="1:6" ht="43.55" customHeight="1" x14ac:dyDescent="0.3">
      <c r="A37" s="20" t="s">
        <v>15</v>
      </c>
      <c r="B37" s="21" t="s">
        <v>16</v>
      </c>
      <c r="C37" s="21" t="s">
        <v>148</v>
      </c>
      <c r="D37" s="20" t="s">
        <v>149</v>
      </c>
      <c r="E37" s="21" t="s">
        <v>142</v>
      </c>
      <c r="F37" s="20" t="s">
        <v>143</v>
      </c>
    </row>
    <row r="38" spans="1:6" ht="43.55" customHeight="1" x14ac:dyDescent="0.3">
      <c r="A38" s="20" t="s">
        <v>20</v>
      </c>
      <c r="B38" s="21" t="s">
        <v>16</v>
      </c>
      <c r="C38" s="21" t="s">
        <v>150</v>
      </c>
      <c r="D38" s="20" t="s">
        <v>151</v>
      </c>
      <c r="E38" s="21" t="s">
        <v>142</v>
      </c>
      <c r="F38" s="20" t="s">
        <v>143</v>
      </c>
    </row>
    <row r="39" spans="1:6" ht="43.55" customHeight="1" x14ac:dyDescent="0.3">
      <c r="A39" s="20" t="s">
        <v>20</v>
      </c>
      <c r="B39" s="21" t="s">
        <v>16</v>
      </c>
      <c r="C39" s="21" t="s">
        <v>152</v>
      </c>
      <c r="D39" s="20" t="s">
        <v>153</v>
      </c>
      <c r="E39" s="21" t="s">
        <v>142</v>
      </c>
      <c r="F39" s="20" t="s">
        <v>143</v>
      </c>
    </row>
    <row r="40" spans="1:6" ht="43.55" customHeight="1" x14ac:dyDescent="0.3">
      <c r="A40" s="20" t="s">
        <v>20</v>
      </c>
      <c r="B40" s="21" t="s">
        <v>16</v>
      </c>
      <c r="C40" s="21" t="s">
        <v>154</v>
      </c>
      <c r="D40" s="20" t="s">
        <v>155</v>
      </c>
      <c r="E40" s="21" t="s">
        <v>142</v>
      </c>
      <c r="F40" s="20" t="s">
        <v>143</v>
      </c>
    </row>
    <row r="41" spans="1:6" ht="43.55" customHeight="1" x14ac:dyDescent="0.3">
      <c r="A41" s="20" t="s">
        <v>23</v>
      </c>
      <c r="B41" s="21" t="s">
        <v>106</v>
      </c>
      <c r="C41" s="21" t="s">
        <v>107</v>
      </c>
      <c r="D41" s="20" t="s">
        <v>156</v>
      </c>
      <c r="E41" s="21" t="s">
        <v>142</v>
      </c>
      <c r="F41" s="20" t="s">
        <v>157</v>
      </c>
    </row>
    <row r="42" spans="1:6" ht="43.55" customHeight="1" x14ac:dyDescent="0.3">
      <c r="A42" s="20" t="s">
        <v>23</v>
      </c>
      <c r="B42" s="21" t="s">
        <v>106</v>
      </c>
      <c r="C42" s="21" t="s">
        <v>158</v>
      </c>
      <c r="D42" s="20" t="s">
        <v>159</v>
      </c>
      <c r="E42" s="21" t="s">
        <v>142</v>
      </c>
      <c r="F42" s="20" t="s">
        <v>160</v>
      </c>
    </row>
    <row r="43" spans="1:6" ht="43.55" customHeight="1" x14ac:dyDescent="0.3">
      <c r="A43" s="20" t="s">
        <v>23</v>
      </c>
      <c r="B43" s="21" t="s">
        <v>106</v>
      </c>
      <c r="C43" s="21" t="s">
        <v>161</v>
      </c>
      <c r="D43" s="20" t="s">
        <v>162</v>
      </c>
      <c r="E43" s="21" t="s">
        <v>142</v>
      </c>
      <c r="F43" s="20" t="s">
        <v>160</v>
      </c>
    </row>
    <row r="44" spans="1:6" ht="43.55" customHeight="1" x14ac:dyDescent="0.3">
      <c r="A44" s="20" t="s">
        <v>23</v>
      </c>
      <c r="B44" s="21" t="s">
        <v>106</v>
      </c>
      <c r="C44" s="21" t="s">
        <v>163</v>
      </c>
      <c r="D44" s="20" t="s">
        <v>164</v>
      </c>
      <c r="E44" s="21" t="s">
        <v>165</v>
      </c>
      <c r="F44" s="20" t="s">
        <v>166</v>
      </c>
    </row>
    <row r="45" spans="1:6" ht="43.55" customHeight="1" x14ac:dyDescent="0.3">
      <c r="A45" s="20" t="s">
        <v>28</v>
      </c>
      <c r="B45" s="21" t="s">
        <v>106</v>
      </c>
      <c r="C45" s="21" t="s">
        <v>167</v>
      </c>
      <c r="D45" s="20" t="s">
        <v>168</v>
      </c>
      <c r="E45" s="21" t="s">
        <v>165</v>
      </c>
      <c r="F45" s="20" t="s">
        <v>169</v>
      </c>
    </row>
    <row r="46" spans="1:6" ht="43.55" customHeight="1" x14ac:dyDescent="0.3">
      <c r="A46" s="20" t="s">
        <v>28</v>
      </c>
      <c r="B46" s="21" t="s">
        <v>106</v>
      </c>
      <c r="C46" s="21" t="s">
        <v>170</v>
      </c>
      <c r="D46" s="20" t="s">
        <v>171</v>
      </c>
      <c r="E46" s="21" t="s">
        <v>142</v>
      </c>
      <c r="F46" s="20" t="s">
        <v>160</v>
      </c>
    </row>
    <row r="47" spans="1:6" ht="43.55" customHeight="1" x14ac:dyDescent="0.3">
      <c r="A47" s="20" t="s">
        <v>28</v>
      </c>
      <c r="B47" s="21" t="s">
        <v>106</v>
      </c>
      <c r="C47" s="21" t="s">
        <v>172</v>
      </c>
      <c r="D47" s="20" t="s">
        <v>173</v>
      </c>
      <c r="E47" s="21" t="s">
        <v>142</v>
      </c>
      <c r="F47" s="20" t="s">
        <v>160</v>
      </c>
    </row>
    <row r="48" spans="1:6" ht="43.55" customHeight="1" x14ac:dyDescent="0.3">
      <c r="A48" s="20" t="s">
        <v>28</v>
      </c>
      <c r="B48" s="21" t="s">
        <v>106</v>
      </c>
      <c r="C48" s="21" t="s">
        <v>174</v>
      </c>
      <c r="D48" s="20" t="s">
        <v>175</v>
      </c>
      <c r="E48" s="21" t="s">
        <v>142</v>
      </c>
      <c r="F48" s="20" t="s">
        <v>160</v>
      </c>
    </row>
    <row r="49" spans="1:6" ht="43.55" customHeight="1" x14ac:dyDescent="0.3">
      <c r="A49" s="20" t="s">
        <v>34</v>
      </c>
      <c r="B49" s="21" t="s">
        <v>106</v>
      </c>
      <c r="C49" s="21" t="s">
        <v>176</v>
      </c>
      <c r="D49" s="20" t="s">
        <v>177</v>
      </c>
      <c r="E49" s="21" t="s">
        <v>142</v>
      </c>
      <c r="F49" s="20" t="s">
        <v>178</v>
      </c>
    </row>
    <row r="50" spans="1:6" ht="43.55" customHeight="1" x14ac:dyDescent="0.3">
      <c r="A50" s="20" t="s">
        <v>37</v>
      </c>
      <c r="B50" s="21" t="s">
        <v>16</v>
      </c>
      <c r="C50" s="21" t="s">
        <v>114</v>
      </c>
      <c r="D50" s="20" t="s">
        <v>179</v>
      </c>
      <c r="E50" s="21" t="s">
        <v>142</v>
      </c>
      <c r="F50" s="20" t="s">
        <v>157</v>
      </c>
    </row>
    <row r="51" spans="1:6" ht="43.55" customHeight="1" x14ac:dyDescent="0.3">
      <c r="A51" s="20" t="s">
        <v>37</v>
      </c>
      <c r="B51" s="21" t="s">
        <v>16</v>
      </c>
      <c r="C51" s="21" t="s">
        <v>121</v>
      </c>
      <c r="D51" s="20" t="s">
        <v>180</v>
      </c>
      <c r="E51" s="21" t="s">
        <v>142</v>
      </c>
      <c r="F51" s="20" t="s">
        <v>157</v>
      </c>
    </row>
    <row r="52" spans="1:6" ht="43.55" customHeight="1" x14ac:dyDescent="0.3">
      <c r="A52" s="20" t="s">
        <v>124</v>
      </c>
      <c r="B52" s="21" t="s">
        <v>16</v>
      </c>
      <c r="C52" s="21" t="s">
        <v>181</v>
      </c>
      <c r="D52" s="20" t="s">
        <v>182</v>
      </c>
      <c r="E52" s="21" t="s">
        <v>142</v>
      </c>
      <c r="F52" s="20" t="s">
        <v>143</v>
      </c>
    </row>
    <row r="53" spans="1:6" ht="43.55" customHeight="1" x14ac:dyDescent="0.3">
      <c r="A53" s="20" t="s">
        <v>124</v>
      </c>
      <c r="B53" s="21" t="s">
        <v>16</v>
      </c>
      <c r="C53" s="21" t="s">
        <v>183</v>
      </c>
      <c r="D53" s="20" t="s">
        <v>184</v>
      </c>
      <c r="E53" s="21" t="s">
        <v>142</v>
      </c>
      <c r="F53" s="20" t="s">
        <v>143</v>
      </c>
    </row>
    <row r="54" spans="1:6" ht="43.55" customHeight="1" x14ac:dyDescent="0.3">
      <c r="A54" s="20" t="s">
        <v>124</v>
      </c>
      <c r="B54" s="21" t="s">
        <v>16</v>
      </c>
      <c r="C54" s="21" t="s">
        <v>185</v>
      </c>
      <c r="D54" s="20" t="s">
        <v>186</v>
      </c>
      <c r="E54" s="21" t="s">
        <v>165</v>
      </c>
      <c r="F54" s="20" t="s">
        <v>187</v>
      </c>
    </row>
    <row r="55" spans="1:6" ht="43.55" customHeight="1" x14ac:dyDescent="0.3">
      <c r="A55" s="20" t="s">
        <v>124</v>
      </c>
      <c r="B55" s="21" t="s">
        <v>16</v>
      </c>
      <c r="C55" s="21" t="s">
        <v>188</v>
      </c>
      <c r="D55" s="20" t="s">
        <v>189</v>
      </c>
      <c r="E55" s="21" t="s">
        <v>142</v>
      </c>
      <c r="F55" s="20" t="s">
        <v>143</v>
      </c>
    </row>
    <row r="56" spans="1:6" ht="43.55" customHeight="1" x14ac:dyDescent="0.3">
      <c r="A56" s="20" t="s">
        <v>124</v>
      </c>
      <c r="B56" s="21" t="s">
        <v>16</v>
      </c>
      <c r="C56" s="21" t="s">
        <v>190</v>
      </c>
      <c r="D56" s="20" t="s">
        <v>191</v>
      </c>
      <c r="E56" s="21" t="s">
        <v>142</v>
      </c>
      <c r="F56" s="20" t="s">
        <v>143</v>
      </c>
    </row>
    <row r="57" spans="1:6" ht="43.55" customHeight="1" x14ac:dyDescent="0.3">
      <c r="A57" s="20" t="s">
        <v>124</v>
      </c>
      <c r="B57" s="21" t="s">
        <v>16</v>
      </c>
      <c r="C57" s="21" t="s">
        <v>192</v>
      </c>
      <c r="D57" s="20" t="s">
        <v>193</v>
      </c>
      <c r="E57" s="21" t="s">
        <v>142</v>
      </c>
      <c r="F57" s="20" t="s">
        <v>143</v>
      </c>
    </row>
    <row r="59" spans="1:6" ht="30.05" customHeight="1" x14ac:dyDescent="0.3">
      <c r="A59" s="48" t="s">
        <v>194</v>
      </c>
      <c r="B59" s="49"/>
      <c r="C59" s="49"/>
      <c r="D59" s="49"/>
      <c r="E59" s="49"/>
      <c r="F59" s="49"/>
    </row>
  </sheetData>
  <mergeCells count="13">
    <mergeCell ref="A59:F59"/>
    <mergeCell ref="A2:F2"/>
    <mergeCell ref="A16:F16"/>
    <mergeCell ref="A11:F11"/>
    <mergeCell ref="A10:F10"/>
    <mergeCell ref="A7:F7"/>
    <mergeCell ref="A13:F13"/>
    <mergeCell ref="A14:F14"/>
    <mergeCell ref="A5:F5"/>
    <mergeCell ref="A9:F9"/>
    <mergeCell ref="A8:F8"/>
    <mergeCell ref="A6:F6"/>
    <mergeCell ref="A12:F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
  <sheetViews>
    <sheetView topLeftCell="A2" zoomScaleNormal="100" workbookViewId="0"/>
  </sheetViews>
  <sheetFormatPr baseColWidth="10" defaultColWidth="8.6640625" defaultRowHeight="15.05" x14ac:dyDescent="0.3"/>
  <cols>
    <col min="1" max="1" width="14" style="1" customWidth="1"/>
    <col min="2" max="2" width="15" style="1" customWidth="1"/>
    <col min="3" max="3" width="8" style="1" customWidth="1"/>
    <col min="4" max="4" width="17.33203125" style="1" customWidth="1"/>
    <col min="5" max="7" width="8" style="1" customWidth="1"/>
    <col min="8" max="9" width="10" style="1" customWidth="1"/>
  </cols>
  <sheetData>
    <row r="1" spans="1:6" ht="17.25" customHeight="1" x14ac:dyDescent="0.3">
      <c r="A1" s="16" t="s">
        <v>195</v>
      </c>
    </row>
    <row r="2" spans="1:6" ht="55.6" customHeight="1" x14ac:dyDescent="0.3">
      <c r="A2" s="48" t="s">
        <v>196</v>
      </c>
      <c r="B2" s="49"/>
      <c r="C2" s="49"/>
      <c r="D2" s="49"/>
      <c r="E2" s="49"/>
      <c r="F2" s="49"/>
    </row>
    <row r="4" spans="1:6" ht="15.05" customHeight="1" x14ac:dyDescent="0.3">
      <c r="A4" s="39" t="s">
        <v>197</v>
      </c>
    </row>
    <row r="5" spans="1:6" ht="25.55" customHeight="1" x14ac:dyDescent="0.3">
      <c r="A5" s="48" t="s">
        <v>198</v>
      </c>
      <c r="B5" s="49"/>
      <c r="C5" s="49"/>
      <c r="D5" s="49"/>
      <c r="E5" s="49"/>
      <c r="F5" s="49"/>
    </row>
    <row r="6" spans="1:6" ht="39" customHeight="1" x14ac:dyDescent="0.3">
      <c r="A6" s="8" t="s">
        <v>4</v>
      </c>
      <c r="B6" s="8" t="s">
        <v>199</v>
      </c>
      <c r="C6" s="8" t="s">
        <v>200</v>
      </c>
      <c r="D6" s="8" t="s">
        <v>201</v>
      </c>
      <c r="E6" s="8" t="s">
        <v>202</v>
      </c>
      <c r="F6" s="8" t="s">
        <v>203</v>
      </c>
    </row>
    <row r="7" spans="1:6" ht="15.05" customHeight="1" x14ac:dyDescent="0.3">
      <c r="A7" s="22" t="s">
        <v>16</v>
      </c>
      <c r="B7" s="23">
        <f>COUNTIF('Metricas por tarea'!$C$4:$C$11,"Excel")</f>
        <v>4</v>
      </c>
      <c r="C7" s="24">
        <f>AVERAGEIF('Metricas por tarea'!$C$4:$C$11,"Excel",'Metricas por tarea'!$N$4:$N$11)</f>
        <v>10</v>
      </c>
      <c r="D7" s="24">
        <f>STDEV('Metricas por tarea'!N4,'Metricas por tarea'!N5,'Metricas por tarea'!N10,'Metricas por tarea'!N11)</f>
        <v>0</v>
      </c>
      <c r="E7" s="24">
        <f>MEDIAN('Metricas por tarea'!N4,'Metricas por tarea'!N5,'Metricas por tarea'!N10,'Metricas por tarea'!N11)</f>
        <v>10</v>
      </c>
      <c r="F7" s="23" t="str">
        <f>MIN('Metricas por tarea'!N4,'Metricas por tarea'!N5,'Metricas por tarea'!N10,'Metricas por tarea'!N11)&amp;" – "&amp;MAX('Metricas por tarea'!N4,'Metricas por tarea'!N5,'Metricas por tarea'!N10,'Metricas por tarea'!N11)</f>
        <v>10 – 10</v>
      </c>
    </row>
    <row r="8" spans="1:6" ht="15.05" customHeight="1" x14ac:dyDescent="0.3">
      <c r="A8" s="22" t="s">
        <v>106</v>
      </c>
      <c r="B8" s="23">
        <f>COUNTIF('Metricas por tarea'!$C$4:$C$11,"Aplicativo web")</f>
        <v>4</v>
      </c>
      <c r="C8" s="24">
        <f>AVERAGEIF('Metricas por tarea'!$C$4:$C$11,"Aplicativo web",'Metricas por tarea'!$N$4:$N$11)</f>
        <v>8.75</v>
      </c>
      <c r="D8" s="24">
        <f>STDEV('Metricas por tarea'!N6,'Metricas por tarea'!N7,'Metricas por tarea'!N8,'Metricas por tarea'!N9)</f>
        <v>0.9574271077563381</v>
      </c>
      <c r="E8" s="24">
        <f>MEDIAN('Metricas por tarea'!N6,'Metricas por tarea'!N7,'Metricas por tarea'!N8,'Metricas por tarea'!N9)</f>
        <v>8.5</v>
      </c>
      <c r="F8" s="23" t="str">
        <f>MIN('Metricas por tarea'!N6,'Metricas por tarea'!N7,'Metricas por tarea'!N8,'Metricas por tarea'!N9)&amp;" – "&amp;MAX('Metricas por tarea'!N6,'Metricas por tarea'!N7,'Metricas por tarea'!N8,'Metricas por tarea'!N9)</f>
        <v>8 – 10</v>
      </c>
    </row>
    <row r="9" spans="1:6" ht="27.1" customHeight="1" x14ac:dyDescent="0.3">
      <c r="A9" s="48" t="s">
        <v>204</v>
      </c>
      <c r="B9" s="49"/>
      <c r="C9" s="49"/>
      <c r="D9" s="49"/>
      <c r="E9" s="49"/>
      <c r="F9" s="49"/>
    </row>
    <row r="11" spans="1:6" ht="15.05" customHeight="1" x14ac:dyDescent="0.3">
      <c r="A11" s="39" t="s">
        <v>205</v>
      </c>
    </row>
    <row r="12" spans="1:6" ht="39.799999999999997" customHeight="1" x14ac:dyDescent="0.3">
      <c r="A12" s="48" t="s">
        <v>206</v>
      </c>
      <c r="B12" s="49"/>
      <c r="C12" s="49"/>
      <c r="D12" s="49"/>
      <c r="E12" s="49"/>
      <c r="F12" s="49"/>
    </row>
    <row r="13" spans="1:6" ht="65.3" customHeight="1" x14ac:dyDescent="0.3">
      <c r="A13" s="8" t="s">
        <v>4</v>
      </c>
      <c r="B13" s="8" t="s">
        <v>199</v>
      </c>
      <c r="C13" s="8" t="s">
        <v>207</v>
      </c>
      <c r="D13" s="8" t="s">
        <v>208</v>
      </c>
      <c r="E13" s="8" t="s">
        <v>209</v>
      </c>
      <c r="F13" s="8" t="s">
        <v>210</v>
      </c>
    </row>
    <row r="14" spans="1:6" ht="15.05" customHeight="1" x14ac:dyDescent="0.3">
      <c r="A14" s="22" t="s">
        <v>16</v>
      </c>
      <c r="B14" s="23">
        <f>COUNTIF('Metricas por tarea'!$C$4:$C$11,"Excel")</f>
        <v>4</v>
      </c>
      <c r="C14" s="23">
        <f>SUMIF('Metricas por tarea'!$C$4:$C$11,"Excel",'Metricas por tarea'!$G$4:$G$11)</f>
        <v>13</v>
      </c>
      <c r="D14" s="23">
        <f>SUMIF('Metricas por tarea'!$C$4:$C$11,"Excel",'Metricas por tarea'!$F$4:$F$11)</f>
        <v>19</v>
      </c>
      <c r="E14" s="25">
        <f>SUMIF('Metricas por tarea'!$C$4:$C$11,"Excel",'Metricas por tarea'!$G$4:$G$11)/SUMIF('Metricas por tarea'!$C$4:$C$11,"Excel",'Metricas por tarea'!$F$4:$F$11)</f>
        <v>0.68421052631578949</v>
      </c>
      <c r="F14" s="25">
        <f>AVERAGEIF('Metricas por tarea'!$C$4:$C$11,"Excel",'Metricas por tarea'!$I$4:$I$11)</f>
        <v>0.68214285714285705</v>
      </c>
    </row>
    <row r="15" spans="1:6" ht="15.05" customHeight="1" x14ac:dyDescent="0.3">
      <c r="A15" s="22" t="s">
        <v>106</v>
      </c>
      <c r="B15" s="23">
        <f>COUNTIF('Metricas por tarea'!$C$4:$C$11,"Aplicativo web")</f>
        <v>4</v>
      </c>
      <c r="C15" s="23">
        <f>SUMIF('Metricas por tarea'!$C$4:$C$11,"Aplicativo web",'Metricas por tarea'!$G$4:$G$11)</f>
        <v>23</v>
      </c>
      <c r="D15" s="23">
        <f>SUMIF('Metricas por tarea'!$C$4:$C$11,"Aplicativo web",'Metricas por tarea'!$F$4:$F$11)</f>
        <v>29</v>
      </c>
      <c r="E15" s="25">
        <f>SUMIF('Metricas por tarea'!$C$4:$C$11,"Aplicativo web",'Metricas por tarea'!$G$4:$G$11)/SUMIF('Metricas por tarea'!$C$4:$C$11,"Aplicativo web",'Metricas por tarea'!$F$4:$F$11)</f>
        <v>0.7931034482758621</v>
      </c>
      <c r="F15" s="25">
        <f>AVERAGEIF('Metricas por tarea'!$C$4:$C$11,"Aplicativo web",'Metricas por tarea'!$I$4:$I$11)</f>
        <v>0.88461538461538458</v>
      </c>
    </row>
    <row r="16" spans="1:6" ht="27.1" customHeight="1" x14ac:dyDescent="0.3">
      <c r="A16" s="48" t="s">
        <v>211</v>
      </c>
      <c r="B16" s="49"/>
      <c r="C16" s="49"/>
      <c r="D16" s="49"/>
      <c r="E16" s="49"/>
      <c r="F16" s="49"/>
    </row>
    <row r="18" spans="1:9" ht="15.05" customHeight="1" x14ac:dyDescent="0.3">
      <c r="A18" s="39" t="s">
        <v>212</v>
      </c>
    </row>
    <row r="19" spans="1:9" ht="39.799999999999997" customHeight="1" x14ac:dyDescent="0.3">
      <c r="A19" s="48" t="s">
        <v>213</v>
      </c>
      <c r="B19" s="49"/>
      <c r="C19" s="49"/>
      <c r="D19" s="49"/>
      <c r="E19" s="49"/>
      <c r="F19" s="49"/>
      <c r="G19" s="49"/>
      <c r="H19" s="49"/>
      <c r="I19" s="49"/>
    </row>
    <row r="20" spans="1:9" ht="15.05" customHeight="1" x14ac:dyDescent="0.3">
      <c r="A20" s="8" t="s">
        <v>4</v>
      </c>
      <c r="B20" s="8" t="s">
        <v>214</v>
      </c>
      <c r="C20" s="8" t="s">
        <v>215</v>
      </c>
      <c r="D20" s="8" t="s">
        <v>216</v>
      </c>
      <c r="E20" s="8" t="s">
        <v>217</v>
      </c>
      <c r="F20" s="8" t="s">
        <v>218</v>
      </c>
      <c r="G20" s="8" t="s">
        <v>219</v>
      </c>
      <c r="H20" s="8" t="s">
        <v>165</v>
      </c>
      <c r="I20" s="8" t="s">
        <v>220</v>
      </c>
    </row>
    <row r="21" spans="1:9" ht="15.05" customHeight="1" x14ac:dyDescent="0.3">
      <c r="A21" s="22" t="s">
        <v>16</v>
      </c>
      <c r="B21" s="23" t="s">
        <v>221</v>
      </c>
      <c r="C21" s="23">
        <f>COUNTIF(Encuestas!$C$4:$C$12,1)+COUNTIF(Encuestas!$E$4:$E$12,1)</f>
        <v>5</v>
      </c>
      <c r="D21" s="23">
        <f>COUNTIF(Encuestas!$C$4:$C$12,2)+COUNTIF(Encuestas!$E$4:$E$12,2)</f>
        <v>7</v>
      </c>
      <c r="E21" s="23">
        <f>COUNTIF(Encuestas!$C$4:$C$12,3)+COUNTIF(Encuestas!$E$4:$E$12,3)</f>
        <v>3</v>
      </c>
      <c r="F21" s="23">
        <f>COUNTIF(Encuestas!$C$4:$C$12,4)+COUNTIF(Encuestas!$E$4:$E$12,4)</f>
        <v>3</v>
      </c>
      <c r="G21" s="23">
        <f>COUNTIF(Encuestas!$C$4:$C$12,5)+COUNTIF(Encuestas!$E$4:$E$12,5)</f>
        <v>0</v>
      </c>
      <c r="H21" s="26">
        <f>AVERAGE(Encuestas!$C$4:$C$12,Encuestas!$E$4:$E$12)</f>
        <v>2.2222222222222223</v>
      </c>
      <c r="I21" s="27">
        <f>MEDIAN(Encuestas!$C$4:$C$12,Encuestas!$E$4:$E$12)</f>
        <v>2</v>
      </c>
    </row>
    <row r="22" spans="1:9" ht="15.05" customHeight="1" x14ac:dyDescent="0.3">
      <c r="A22" s="28" t="s">
        <v>16</v>
      </c>
      <c r="B22" s="23" t="s">
        <v>222</v>
      </c>
      <c r="C22" s="29">
        <f>C21/(COUNT(Encuestas!$C$4:$C$12)+COUNT(Encuestas!$E$4:$E$12))</f>
        <v>0.27777777777777779</v>
      </c>
      <c r="D22" s="29">
        <f>D21/(COUNT(Encuestas!$C$4:$C$12)+COUNT(Encuestas!$E$4:$E$12))</f>
        <v>0.3888888888888889</v>
      </c>
      <c r="E22" s="29">
        <f>E21/(COUNT(Encuestas!$C$4:$C$12)+COUNT(Encuestas!$E$4:$E$12))</f>
        <v>0.16666666666666666</v>
      </c>
      <c r="F22" s="29">
        <f>F21/(COUNT(Encuestas!$C$4:$C$12)+COUNT(Encuestas!$E$4:$E$12))</f>
        <v>0.16666666666666666</v>
      </c>
      <c r="G22" s="29">
        <f>G21/(COUNT(Encuestas!$C$4:$C$12)+COUNT(Encuestas!$E$4:$E$12))</f>
        <v>0</v>
      </c>
      <c r="H22" s="30"/>
      <c r="I22" s="30"/>
    </row>
    <row r="23" spans="1:9" ht="15.05" customHeight="1" x14ac:dyDescent="0.3">
      <c r="A23" s="22" t="s">
        <v>106</v>
      </c>
      <c r="B23" s="23" t="s">
        <v>221</v>
      </c>
      <c r="C23" s="23">
        <f>COUNTIF(Encuestas!$D$4:$D$12,1)+COUNTIF(Encuestas!$F$4:$F$12,1)</f>
        <v>0</v>
      </c>
      <c r="D23" s="23">
        <f>COUNTIF(Encuestas!$D$4:$D$12,2)+COUNTIF(Encuestas!$F$4:$F$12,2)</f>
        <v>0</v>
      </c>
      <c r="E23" s="23">
        <f>COUNTIF(Encuestas!$D$4:$D$12,3)+COUNTIF(Encuestas!$F$4:$F$12,3)</f>
        <v>0</v>
      </c>
      <c r="F23" s="23">
        <f>COUNTIF(Encuestas!$D$4:$D$12,4)+COUNTIF(Encuestas!$F$4:$F$12,4)</f>
        <v>3</v>
      </c>
      <c r="G23" s="23">
        <f>COUNTIF(Encuestas!$D$4:$D$12,5)+COUNTIF(Encuestas!$F$4:$F$12,5)</f>
        <v>15</v>
      </c>
      <c r="H23" s="26">
        <f>AVERAGE(Encuestas!$D$4:$D$12,Encuestas!$F$4:$F$12)</f>
        <v>4.833333333333333</v>
      </c>
      <c r="I23" s="27">
        <f>MEDIAN(Encuestas!$D$4:$D$12,Encuestas!$F$4:$F$12)</f>
        <v>5</v>
      </c>
    </row>
    <row r="24" spans="1:9" ht="15.05" customHeight="1" x14ac:dyDescent="0.3">
      <c r="A24" s="28" t="s">
        <v>106</v>
      </c>
      <c r="B24" s="23" t="s">
        <v>222</v>
      </c>
      <c r="C24" s="29">
        <f>C23/(COUNT(Encuestas!$D$4:$D$12)+COUNT(Encuestas!$F$4:$F$12))</f>
        <v>0</v>
      </c>
      <c r="D24" s="29">
        <f>D23/(COUNT(Encuestas!$D$4:$D$12)+COUNT(Encuestas!$F$4:$F$12))</f>
        <v>0</v>
      </c>
      <c r="E24" s="29">
        <f>E23/(COUNT(Encuestas!$D$4:$D$12)+COUNT(Encuestas!$F$4:$F$12))</f>
        <v>0</v>
      </c>
      <c r="F24" s="29">
        <f>F23/(COUNT(Encuestas!$D$4:$D$12)+COUNT(Encuestas!$F$4:$F$12))</f>
        <v>0.16666666666666666</v>
      </c>
      <c r="G24" s="29">
        <f>G23/(COUNT(Encuestas!$D$4:$D$12)+COUNT(Encuestas!$F$4:$F$12))</f>
        <v>0.83333333333333337</v>
      </c>
      <c r="H24" s="30"/>
      <c r="I24" s="30"/>
    </row>
    <row r="25" spans="1:9" ht="30.05" customHeight="1" x14ac:dyDescent="0.3">
      <c r="A25" s="48" t="s">
        <v>223</v>
      </c>
      <c r="B25" s="49"/>
      <c r="C25" s="49"/>
      <c r="D25" s="49"/>
      <c r="E25" s="49"/>
      <c r="F25" s="49"/>
      <c r="G25" s="49"/>
      <c r="H25" s="49"/>
      <c r="I25" s="49"/>
    </row>
    <row r="27" spans="1:9" ht="27.1" customHeight="1" x14ac:dyDescent="0.3">
      <c r="A27" s="48" t="s">
        <v>224</v>
      </c>
      <c r="B27" s="49"/>
      <c r="C27" s="49"/>
      <c r="D27" s="49"/>
      <c r="E27" s="49"/>
      <c r="F27" s="49"/>
      <c r="G27" s="49"/>
      <c r="H27" s="49"/>
      <c r="I27" s="49"/>
    </row>
  </sheetData>
  <mergeCells count="8">
    <mergeCell ref="A27:I27"/>
    <mergeCell ref="A12:F12"/>
    <mergeCell ref="A16:F16"/>
    <mergeCell ref="A2:F2"/>
    <mergeCell ref="A25:I25"/>
    <mergeCell ref="A19:I19"/>
    <mergeCell ref="A5:F5"/>
    <mergeCell ref="A9:F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4"/>
  <sheetViews>
    <sheetView topLeftCell="A18" zoomScaleNormal="100" workbookViewId="0">
      <selection activeCell="C29" sqref="C29"/>
    </sheetView>
  </sheetViews>
  <sheetFormatPr baseColWidth="10" defaultColWidth="8.6640625" defaultRowHeight="15.05" x14ac:dyDescent="0.3"/>
  <cols>
    <col min="1" max="1" width="42" style="1" customWidth="1"/>
    <col min="2" max="2" width="35" style="1" bestFit="1" customWidth="1"/>
    <col min="3" max="3" width="26" style="1" customWidth="1"/>
    <col min="4" max="4" width="20" style="1" customWidth="1"/>
    <col min="5" max="5" width="28" style="1" customWidth="1"/>
  </cols>
  <sheetData>
    <row r="1" spans="1:5" ht="17.25" customHeight="1" x14ac:dyDescent="0.3">
      <c r="A1" s="16" t="s">
        <v>225</v>
      </c>
    </row>
    <row r="2" spans="1:5" ht="57.8" customHeight="1" x14ac:dyDescent="0.3">
      <c r="A2" s="48" t="s">
        <v>226</v>
      </c>
      <c r="B2" s="49"/>
      <c r="C2" s="49"/>
      <c r="D2" s="49"/>
      <c r="E2" s="49"/>
    </row>
    <row r="4" spans="1:5" ht="15.05" customHeight="1" x14ac:dyDescent="0.3">
      <c r="A4" s="39" t="s">
        <v>227</v>
      </c>
    </row>
    <row r="5" spans="1:5" ht="15.05" customHeight="1" x14ac:dyDescent="0.3">
      <c r="A5" s="44" t="s">
        <v>1</v>
      </c>
      <c r="B5" s="44" t="s">
        <v>228</v>
      </c>
      <c r="C5" s="58" t="s">
        <v>229</v>
      </c>
      <c r="D5" s="57"/>
      <c r="E5" s="55"/>
    </row>
    <row r="6" spans="1:5" ht="55.6" customHeight="1" x14ac:dyDescent="0.3">
      <c r="A6" s="31" t="s">
        <v>13</v>
      </c>
      <c r="B6" s="43" t="s">
        <v>230</v>
      </c>
      <c r="C6" s="56" t="s">
        <v>231</v>
      </c>
      <c r="D6" s="57"/>
      <c r="E6" s="55"/>
    </row>
    <row r="7" spans="1:5" ht="55.6" customHeight="1" x14ac:dyDescent="0.3">
      <c r="A7" s="31" t="s">
        <v>13</v>
      </c>
      <c r="B7" s="43" t="s">
        <v>232</v>
      </c>
      <c r="C7" s="56" t="s">
        <v>69</v>
      </c>
      <c r="D7" s="57"/>
      <c r="E7" s="55"/>
    </row>
    <row r="8" spans="1:5" ht="55.6" customHeight="1" x14ac:dyDescent="0.3">
      <c r="A8" s="31" t="s">
        <v>14</v>
      </c>
      <c r="B8" s="43" t="s">
        <v>230</v>
      </c>
      <c r="C8" s="56" t="s">
        <v>233</v>
      </c>
      <c r="D8" s="57"/>
      <c r="E8" s="55"/>
    </row>
    <row r="9" spans="1:5" ht="55.6" customHeight="1" x14ac:dyDescent="0.3">
      <c r="A9" s="31" t="s">
        <v>14</v>
      </c>
      <c r="B9" s="43" t="s">
        <v>232</v>
      </c>
      <c r="C9" s="56" t="s">
        <v>234</v>
      </c>
      <c r="D9" s="57"/>
      <c r="E9" s="55"/>
    </row>
    <row r="11" spans="1:5" ht="15.05" customHeight="1" x14ac:dyDescent="0.3">
      <c r="A11" s="39" t="s">
        <v>235</v>
      </c>
    </row>
    <row r="12" spans="1:5" ht="15.05" customHeight="1" x14ac:dyDescent="0.3">
      <c r="A12" s="58" t="s">
        <v>236</v>
      </c>
      <c r="B12" s="55"/>
      <c r="C12" s="44" t="s">
        <v>237</v>
      </c>
      <c r="D12" s="44" t="s">
        <v>238</v>
      </c>
    </row>
    <row r="13" spans="1:5" ht="31.5" customHeight="1" x14ac:dyDescent="0.3">
      <c r="A13" s="56" t="s">
        <v>239</v>
      </c>
      <c r="B13" s="55"/>
      <c r="C13" s="43" t="s">
        <v>240</v>
      </c>
      <c r="D13" s="32" t="s">
        <v>241</v>
      </c>
    </row>
    <row r="14" spans="1:5" ht="31.5" customHeight="1" x14ac:dyDescent="0.3">
      <c r="A14" s="56" t="s">
        <v>242</v>
      </c>
      <c r="B14" s="55"/>
      <c r="C14" s="43" t="s">
        <v>243</v>
      </c>
      <c r="D14" s="32" t="s">
        <v>241</v>
      </c>
    </row>
    <row r="15" spans="1:5" ht="31.5" customHeight="1" x14ac:dyDescent="0.3">
      <c r="A15" s="56" t="s">
        <v>244</v>
      </c>
      <c r="B15" s="55"/>
      <c r="C15" s="43" t="s">
        <v>245</v>
      </c>
      <c r="D15" s="32" t="s">
        <v>241</v>
      </c>
    </row>
    <row r="16" spans="1:5" ht="31.5" customHeight="1" x14ac:dyDescent="0.3">
      <c r="A16" s="56" t="s">
        <v>246</v>
      </c>
      <c r="B16" s="55"/>
      <c r="C16" s="43" t="s">
        <v>247</v>
      </c>
      <c r="D16" s="20" t="s">
        <v>248</v>
      </c>
    </row>
    <row r="17" spans="1:5" ht="31.5" customHeight="1" x14ac:dyDescent="0.3">
      <c r="A17" s="56" t="s">
        <v>249</v>
      </c>
      <c r="B17" s="55"/>
      <c r="C17" s="43" t="s">
        <v>250</v>
      </c>
      <c r="D17" s="20" t="s">
        <v>248</v>
      </c>
    </row>
    <row r="18" spans="1:5" ht="31.5" customHeight="1" x14ac:dyDescent="0.3">
      <c r="A18" s="56" t="s">
        <v>251</v>
      </c>
      <c r="B18" s="55"/>
      <c r="C18" s="43" t="s">
        <v>252</v>
      </c>
      <c r="D18" s="20" t="s">
        <v>248</v>
      </c>
    </row>
    <row r="19" spans="1:5" ht="31.5" customHeight="1" x14ac:dyDescent="0.3">
      <c r="A19" s="56" t="s">
        <v>253</v>
      </c>
      <c r="B19" s="55"/>
      <c r="C19" s="43" t="s">
        <v>254</v>
      </c>
      <c r="D19" s="20" t="s">
        <v>248</v>
      </c>
    </row>
    <row r="20" spans="1:5" ht="31.5" customHeight="1" x14ac:dyDescent="0.3">
      <c r="A20" s="56" t="s">
        <v>255</v>
      </c>
      <c r="B20" s="55"/>
      <c r="C20" s="43" t="s">
        <v>256</v>
      </c>
      <c r="D20" s="33" t="s">
        <v>257</v>
      </c>
    </row>
    <row r="21" spans="1:5" ht="31.5" customHeight="1" x14ac:dyDescent="0.3">
      <c r="A21" s="56" t="s">
        <v>258</v>
      </c>
      <c r="B21" s="55"/>
      <c r="C21" s="43" t="s">
        <v>259</v>
      </c>
      <c r="D21" s="33" t="s">
        <v>257</v>
      </c>
    </row>
    <row r="22" spans="1:5" ht="31.5" customHeight="1" x14ac:dyDescent="0.3">
      <c r="A22" s="56" t="s">
        <v>260</v>
      </c>
      <c r="B22" s="55"/>
      <c r="C22" s="43" t="s">
        <v>261</v>
      </c>
      <c r="D22" s="18" t="s">
        <v>262</v>
      </c>
    </row>
    <row r="24" spans="1:5" ht="15.05" customHeight="1" x14ac:dyDescent="0.3">
      <c r="A24" s="39" t="s">
        <v>263</v>
      </c>
    </row>
    <row r="25" spans="1:5" ht="15.05" customHeight="1" x14ac:dyDescent="0.3">
      <c r="A25" s="44" t="s">
        <v>238</v>
      </c>
      <c r="B25" s="44" t="s">
        <v>264</v>
      </c>
      <c r="C25" s="44" t="s">
        <v>265</v>
      </c>
      <c r="D25" s="58" t="s">
        <v>266</v>
      </c>
      <c r="E25" s="55"/>
    </row>
    <row r="26" spans="1:5" ht="51.85" customHeight="1" x14ac:dyDescent="0.3">
      <c r="A26" s="34" t="s">
        <v>241</v>
      </c>
      <c r="B26" s="43" t="s">
        <v>267</v>
      </c>
      <c r="C26" s="31" t="s">
        <v>268</v>
      </c>
      <c r="D26" s="54" t="s">
        <v>269</v>
      </c>
      <c r="E26" s="55"/>
    </row>
    <row r="27" spans="1:5" ht="51.85" customHeight="1" x14ac:dyDescent="0.3">
      <c r="A27" s="35" t="s">
        <v>248</v>
      </c>
      <c r="B27" s="43" t="s">
        <v>270</v>
      </c>
      <c r="C27" s="31" t="s">
        <v>268</v>
      </c>
      <c r="D27" s="54" t="s">
        <v>271</v>
      </c>
      <c r="E27" s="55"/>
    </row>
    <row r="28" spans="1:5" ht="51.85" customHeight="1" x14ac:dyDescent="0.3">
      <c r="A28" s="36" t="s">
        <v>257</v>
      </c>
      <c r="B28" s="43" t="s">
        <v>272</v>
      </c>
      <c r="C28" s="31" t="s">
        <v>268</v>
      </c>
      <c r="D28" s="54" t="s">
        <v>273</v>
      </c>
      <c r="E28" s="55"/>
    </row>
    <row r="29" spans="1:5" ht="51.85" customHeight="1" x14ac:dyDescent="0.3">
      <c r="A29" s="37" t="s">
        <v>262</v>
      </c>
      <c r="B29" s="43" t="s">
        <v>274</v>
      </c>
      <c r="C29" s="31" t="s">
        <v>275</v>
      </c>
      <c r="D29" s="54" t="s">
        <v>276</v>
      </c>
      <c r="E29" s="55"/>
    </row>
    <row r="31" spans="1:5" ht="15.05" customHeight="1" x14ac:dyDescent="0.3">
      <c r="A31" s="39" t="s">
        <v>277</v>
      </c>
    </row>
    <row r="32" spans="1:5" ht="63.7" customHeight="1" x14ac:dyDescent="0.3">
      <c r="A32" s="53" t="s">
        <v>278</v>
      </c>
      <c r="B32" s="49"/>
      <c r="C32" s="49"/>
      <c r="D32" s="49"/>
      <c r="E32" s="49"/>
    </row>
    <row r="34" spans="1:5" ht="43.55" customHeight="1" x14ac:dyDescent="0.3">
      <c r="A34" s="48" t="s">
        <v>279</v>
      </c>
      <c r="B34" s="49"/>
      <c r="C34" s="49"/>
      <c r="D34" s="49"/>
      <c r="E34" s="49"/>
    </row>
  </sheetData>
  <mergeCells count="24">
    <mergeCell ref="C7:E7"/>
    <mergeCell ref="A12:B12"/>
    <mergeCell ref="A21:B21"/>
    <mergeCell ref="A34:E34"/>
    <mergeCell ref="A15:B15"/>
    <mergeCell ref="C9:E9"/>
    <mergeCell ref="A16:B16"/>
    <mergeCell ref="D27:E27"/>
    <mergeCell ref="A2:E2"/>
    <mergeCell ref="D28:E28"/>
    <mergeCell ref="A14:B14"/>
    <mergeCell ref="A32:E32"/>
    <mergeCell ref="A17:B17"/>
    <mergeCell ref="A22:B22"/>
    <mergeCell ref="C6:E6"/>
    <mergeCell ref="D25:E25"/>
    <mergeCell ref="A20:B20"/>
    <mergeCell ref="C5:E5"/>
    <mergeCell ref="A19:B19"/>
    <mergeCell ref="D29:E29"/>
    <mergeCell ref="A13:B13"/>
    <mergeCell ref="D26:E26"/>
    <mergeCell ref="C8:E8"/>
    <mergeCell ref="A18:B1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1"/>
  <sheetViews>
    <sheetView topLeftCell="A115" zoomScaleNormal="100" workbookViewId="0">
      <selection activeCell="J74" sqref="J74"/>
    </sheetView>
  </sheetViews>
  <sheetFormatPr baseColWidth="10" defaultColWidth="8.6640625" defaultRowHeight="15.05" x14ac:dyDescent="0.3"/>
  <cols>
    <col min="1" max="1" width="20" style="1" customWidth="1"/>
    <col min="2" max="4" width="17" style="1" customWidth="1"/>
    <col min="5" max="7" width="14" style="1" customWidth="1"/>
  </cols>
  <sheetData>
    <row r="1" spans="1:7" ht="20.7" customHeight="1" x14ac:dyDescent="0.35">
      <c r="A1" s="38" t="s">
        <v>280</v>
      </c>
    </row>
    <row r="2" spans="1:7" ht="54" customHeight="1" x14ac:dyDescent="0.3">
      <c r="A2" s="59" t="s">
        <v>281</v>
      </c>
      <c r="B2" s="49"/>
      <c r="C2" s="49"/>
      <c r="D2" s="49"/>
      <c r="E2" s="49"/>
      <c r="F2" s="49"/>
      <c r="G2" s="49"/>
    </row>
    <row r="4" spans="1:7" ht="15.65" customHeight="1" x14ac:dyDescent="0.3">
      <c r="A4" s="39" t="s">
        <v>282</v>
      </c>
    </row>
    <row r="5" spans="1:7" ht="43.55" customHeight="1" x14ac:dyDescent="0.3">
      <c r="A5" s="59" t="s">
        <v>283</v>
      </c>
      <c r="B5" s="49"/>
      <c r="C5" s="49"/>
      <c r="D5" s="49"/>
      <c r="E5" s="49"/>
      <c r="F5" s="49"/>
      <c r="G5" s="49"/>
    </row>
    <row r="6" spans="1:7" ht="55.6" customHeight="1" x14ac:dyDescent="0.3">
      <c r="A6" s="59" t="s">
        <v>284</v>
      </c>
      <c r="B6" s="49"/>
      <c r="C6" s="49"/>
      <c r="D6" s="49"/>
      <c r="E6" s="49"/>
      <c r="F6" s="49"/>
      <c r="G6" s="49"/>
    </row>
    <row r="7" spans="1:7" ht="51.85" customHeight="1" x14ac:dyDescent="0.3">
      <c r="A7" s="59" t="s">
        <v>285</v>
      </c>
      <c r="B7" s="49"/>
      <c r="C7" s="49"/>
      <c r="D7" s="49"/>
      <c r="E7" s="49"/>
      <c r="F7" s="49"/>
      <c r="G7" s="49"/>
    </row>
    <row r="9" spans="1:7" ht="15.65" customHeight="1" x14ac:dyDescent="0.3">
      <c r="A9" s="39" t="s">
        <v>286</v>
      </c>
    </row>
    <row r="10" spans="1:7" ht="26.3" customHeight="1" x14ac:dyDescent="0.3">
      <c r="A10" s="8" t="s">
        <v>4</v>
      </c>
      <c r="B10" s="8" t="s">
        <v>200</v>
      </c>
      <c r="C10" s="8" t="s">
        <v>287</v>
      </c>
      <c r="D10" s="8" t="s">
        <v>202</v>
      </c>
      <c r="E10" s="8" t="s">
        <v>288</v>
      </c>
      <c r="F10" s="8" t="s">
        <v>289</v>
      </c>
    </row>
    <row r="11" spans="1:7" x14ac:dyDescent="0.3">
      <c r="A11" s="22" t="s">
        <v>16</v>
      </c>
      <c r="B11" s="24">
        <f>AVERAGEIF('Metricas por tarea'!$C$4:$C$11,"Excel",'Metricas por tarea'!$N$4:$N$11)</f>
        <v>10</v>
      </c>
      <c r="C11" s="24">
        <f>STDEV('Metricas por tarea'!N4,'Metricas por tarea'!N5,'Metricas por tarea'!N10,'Metricas por tarea'!N11)</f>
        <v>0</v>
      </c>
      <c r="D11" s="40">
        <f>MEDIAN('Metricas por tarea'!N4,'Metricas por tarea'!N5,'Metricas por tarea'!N10,'Metricas por tarea'!N11)</f>
        <v>10</v>
      </c>
      <c r="E11" s="41">
        <f>MIN('Metricas por tarea'!N4,'Metricas por tarea'!N5,'Metricas por tarea'!N10,'Metricas por tarea'!N11)</f>
        <v>10</v>
      </c>
      <c r="F11" s="41">
        <f>MAX('Metricas por tarea'!N4,'Metricas por tarea'!N5,'Metricas por tarea'!N10,'Metricas por tarea'!N11)</f>
        <v>10</v>
      </c>
    </row>
    <row r="12" spans="1:7" x14ac:dyDescent="0.3">
      <c r="A12" s="22" t="s">
        <v>24</v>
      </c>
      <c r="B12" s="24">
        <f>AVERAGEIF('Metricas por tarea'!$C$4:$C$11,"Aplicativo web",'Metricas por tarea'!$N$4:$N$11)</f>
        <v>8.75</v>
      </c>
      <c r="C12" s="24">
        <f>STDEV('Metricas por tarea'!N6,'Metricas por tarea'!N7,'Metricas por tarea'!N8,'Metricas por tarea'!N9)</f>
        <v>0.9574271077563381</v>
      </c>
      <c r="D12" s="40">
        <f>MEDIAN('Metricas por tarea'!N6,'Metricas por tarea'!N7,'Metricas por tarea'!N8,'Metricas por tarea'!N9)</f>
        <v>8.5</v>
      </c>
      <c r="E12" s="41">
        <f>MIN('Metricas por tarea'!N6,'Metricas por tarea'!N7,'Metricas por tarea'!N8,'Metricas por tarea'!N9)</f>
        <v>8</v>
      </c>
      <c r="F12" s="41">
        <f>MAX('Metricas por tarea'!N6,'Metricas por tarea'!N7,'Metricas por tarea'!N8,'Metricas por tarea'!N9)</f>
        <v>10</v>
      </c>
    </row>
    <row r="14" spans="1:7" ht="67.5" customHeight="1" x14ac:dyDescent="0.3">
      <c r="A14" s="59" t="s">
        <v>290</v>
      </c>
      <c r="B14" s="49"/>
      <c r="C14" s="49"/>
      <c r="D14" s="49"/>
      <c r="E14" s="49"/>
      <c r="F14" s="49"/>
      <c r="G14" s="49"/>
    </row>
    <row r="15" spans="1:7" ht="18" customHeight="1" x14ac:dyDescent="0.3">
      <c r="A15" s="59" t="s">
        <v>291</v>
      </c>
      <c r="B15" s="49"/>
      <c r="C15" s="49"/>
      <c r="D15" s="49"/>
      <c r="E15" s="49"/>
      <c r="F15" s="49"/>
      <c r="G15" s="49"/>
    </row>
    <row r="31" spans="1:4" ht="15.65" customHeight="1" x14ac:dyDescent="0.3">
      <c r="A31" s="39" t="s">
        <v>292</v>
      </c>
    </row>
    <row r="32" spans="1:4" ht="26.3" customHeight="1" x14ac:dyDescent="0.3">
      <c r="A32" s="8" t="s">
        <v>4</v>
      </c>
      <c r="B32" s="8" t="s">
        <v>293</v>
      </c>
      <c r="C32" s="8" t="s">
        <v>294</v>
      </c>
      <c r="D32" s="8" t="s">
        <v>78</v>
      </c>
    </row>
    <row r="33" spans="1:7" x14ac:dyDescent="0.3">
      <c r="A33" s="22" t="s">
        <v>16</v>
      </c>
      <c r="B33" s="23">
        <f>SUMIF('Metricas por tarea'!$C$4:$C$11,"Excel",'Metricas por tarea'!$F$4:$F$11)</f>
        <v>19</v>
      </c>
      <c r="C33" s="23">
        <f>SUMIF('Metricas por tarea'!$C$4:$C$11,"Excel",'Metricas por tarea'!$G$4:$G$11)</f>
        <v>13</v>
      </c>
      <c r="D33" s="25">
        <f>SUMIF('Metricas por tarea'!$C$4:$C$11,"Excel",'Metricas por tarea'!$G$4:$G$11)/SUMIF('Metricas por tarea'!$C$4:$C$11,"Excel",'Metricas por tarea'!$F$4:$F$11)</f>
        <v>0.68421052631578949</v>
      </c>
    </row>
    <row r="34" spans="1:7" x14ac:dyDescent="0.3">
      <c r="A34" s="22" t="s">
        <v>24</v>
      </c>
      <c r="B34" s="23">
        <f>SUMIF('Metricas por tarea'!$C$4:$C$11,"Aplicativo web",'Metricas por tarea'!$F$4:$F$11)</f>
        <v>29</v>
      </c>
      <c r="C34" s="23">
        <f>SUMIF('Metricas por tarea'!$C$4:$C$11,"Aplicativo web",'Metricas por tarea'!$G$4:$G$11)</f>
        <v>23</v>
      </c>
      <c r="D34" s="25">
        <f>SUMIF('Metricas por tarea'!$C$4:$C$11,"Aplicativo web",'Metricas por tarea'!$G$4:$G$11)/SUMIF('Metricas por tarea'!$C$4:$C$11,"Aplicativo web",'Metricas por tarea'!$F$4:$F$11)</f>
        <v>0.7931034482758621</v>
      </c>
    </row>
    <row r="36" spans="1:7" ht="66.05" customHeight="1" x14ac:dyDescent="0.3">
      <c r="A36" s="59" t="s">
        <v>295</v>
      </c>
      <c r="B36" s="49"/>
      <c r="C36" s="49"/>
      <c r="D36" s="49"/>
      <c r="E36" s="49"/>
      <c r="F36" s="49"/>
      <c r="G36" s="49"/>
    </row>
    <row r="52" spans="1:7" ht="15.65" customHeight="1" x14ac:dyDescent="0.3">
      <c r="A52" s="39" t="s">
        <v>296</v>
      </c>
    </row>
    <row r="53" spans="1:7" ht="26.3" customHeight="1" x14ac:dyDescent="0.3">
      <c r="A53" s="8" t="s">
        <v>4</v>
      </c>
      <c r="B53" s="8" t="s">
        <v>297</v>
      </c>
      <c r="C53" s="8" t="s">
        <v>298</v>
      </c>
      <c r="D53" s="8" t="s">
        <v>77</v>
      </c>
    </row>
    <row r="54" spans="1:7" x14ac:dyDescent="0.3">
      <c r="A54" s="22" t="s">
        <v>16</v>
      </c>
      <c r="B54" s="23">
        <f>SUMIF('Metricas por tarea'!$C$4:$C$11,"Excel",'Metricas por tarea'!$E$4:$E$11)</f>
        <v>28</v>
      </c>
      <c r="C54" s="23">
        <f>SUMIF('Metricas por tarea'!$C$4:$C$11,"Excel",'Metricas por tarea'!$G$4:$G$11)</f>
        <v>13</v>
      </c>
      <c r="D54" s="25">
        <f>SUMIF('Metricas por tarea'!$C$4:$C$11,"Excel",'Metricas por tarea'!$G$4:$G$11)/SUMIF('Metricas por tarea'!$C$4:$C$11,"Excel",'Metricas por tarea'!$E$4:$E$11)</f>
        <v>0.4642857142857143</v>
      </c>
    </row>
    <row r="55" spans="1:7" x14ac:dyDescent="0.3">
      <c r="A55" s="22" t="s">
        <v>24</v>
      </c>
      <c r="B55" s="23">
        <f>SUMIF('Metricas por tarea'!$C$4:$C$11,"Aplicativo web",'Metricas por tarea'!$E$4:$E$11)</f>
        <v>32</v>
      </c>
      <c r="C55" s="23">
        <f>SUMIF('Metricas por tarea'!$C$4:$C$11,"Aplicativo web",'Metricas por tarea'!$G$4:$G$11)</f>
        <v>23</v>
      </c>
      <c r="D55" s="25">
        <f>SUMIF('Metricas por tarea'!$C$4:$C$11,"Aplicativo web",'Metricas por tarea'!$G$4:$G$11)/SUMIF('Metricas por tarea'!$C$4:$C$11,"Aplicativo web",'Metricas por tarea'!$E$4:$E$11)</f>
        <v>0.71875</v>
      </c>
    </row>
    <row r="57" spans="1:7" ht="51.85" customHeight="1" x14ac:dyDescent="0.3">
      <c r="A57" s="59" t="s">
        <v>299</v>
      </c>
      <c r="B57" s="49"/>
      <c r="C57" s="49"/>
      <c r="D57" s="49"/>
      <c r="E57" s="49"/>
      <c r="F57" s="49"/>
      <c r="G57" s="49"/>
    </row>
    <row r="73" spans="1:7" ht="15.65" customHeight="1" x14ac:dyDescent="0.3">
      <c r="A73" s="39" t="s">
        <v>300</v>
      </c>
    </row>
    <row r="74" spans="1:7" ht="39.450000000000003" customHeight="1" x14ac:dyDescent="0.3">
      <c r="A74" s="8" t="s">
        <v>4</v>
      </c>
      <c r="B74" s="8" t="s">
        <v>301</v>
      </c>
    </row>
    <row r="75" spans="1:7" x14ac:dyDescent="0.3">
      <c r="A75" s="22" t="s">
        <v>16</v>
      </c>
      <c r="B75" s="24">
        <f>AVERAGEIF('Metricas por tarea'!$C$4:$C$11,"Excel",'Metricas por tarea'!$O$4:$O$11)</f>
        <v>0.32500000000000001</v>
      </c>
    </row>
    <row r="76" spans="1:7" x14ac:dyDescent="0.3">
      <c r="A76" s="22" t="s">
        <v>24</v>
      </c>
      <c r="B76" s="24">
        <f>AVERAGEIF('Metricas por tarea'!$C$4:$C$11,"Aplicativo web",'Metricas por tarea'!$O$4:$O$11)</f>
        <v>0.65694444444444444</v>
      </c>
    </row>
    <row r="78" spans="1:7" ht="39.799999999999997" customHeight="1" x14ac:dyDescent="0.3">
      <c r="A78" s="59" t="s">
        <v>302</v>
      </c>
      <c r="B78" s="49"/>
      <c r="C78" s="49"/>
      <c r="D78" s="49"/>
      <c r="E78" s="49"/>
      <c r="F78" s="49"/>
      <c r="G78" s="49"/>
    </row>
    <row r="94" spans="1:6" ht="15.65" customHeight="1" x14ac:dyDescent="0.3">
      <c r="A94" s="39" t="s">
        <v>303</v>
      </c>
    </row>
    <row r="95" spans="1:6" ht="26.3" customHeight="1" x14ac:dyDescent="0.3">
      <c r="A95" s="8" t="s">
        <v>4</v>
      </c>
      <c r="B95" s="8" t="s">
        <v>304</v>
      </c>
      <c r="C95" s="8" t="s">
        <v>305</v>
      </c>
      <c r="D95" s="8" t="s">
        <v>306</v>
      </c>
      <c r="E95" s="8" t="s">
        <v>307</v>
      </c>
      <c r="F95" s="8" t="s">
        <v>220</v>
      </c>
    </row>
    <row r="96" spans="1:6" x14ac:dyDescent="0.3">
      <c r="A96" s="22" t="s">
        <v>16</v>
      </c>
      <c r="B96" s="23">
        <f>COUNTIF(Encuestas!$C$4:$C$12,1)+COUNTIF(Encuestas!$E$4:$E$12,1)+COUNTIF(Encuestas!$C$4:$C$12,2)+COUNTIF(Encuestas!$E$4:$E$12,2)</f>
        <v>12</v>
      </c>
      <c r="C96" s="23">
        <f>COUNTIF(Encuestas!$C$4:$C$12,3)+COUNTIF(Encuestas!$E$4:$E$12,3)</f>
        <v>3</v>
      </c>
      <c r="D96" s="23">
        <f>COUNTIF(Encuestas!$C$4:$C$12,4)+COUNTIF(Encuestas!$E$4:$E$12,4)+COUNTIF(Encuestas!$C$4:$C$12,5)+COUNTIF(Encuestas!$E$4:$E$12,5)</f>
        <v>3</v>
      </c>
      <c r="E96" s="24">
        <f>AVERAGE(Encuestas!$C$4:$C$12,Encuestas!$E$4:$E$12)</f>
        <v>2.2222222222222223</v>
      </c>
      <c r="F96" s="41">
        <f>MEDIAN(Encuestas!$C$4:$C$12,Encuestas!$E$4:$E$12)</f>
        <v>2</v>
      </c>
    </row>
    <row r="97" spans="1:7" x14ac:dyDescent="0.3">
      <c r="A97" s="22" t="s">
        <v>24</v>
      </c>
      <c r="B97" s="23">
        <f>COUNTIF(Encuestas!$D$4:$D$12,1)+COUNTIF(Encuestas!$F$4:$F$12,1)+COUNTIF(Encuestas!$D$4:$D$12,2)+COUNTIF(Encuestas!$F$4:$F$12,2)</f>
        <v>0</v>
      </c>
      <c r="C97" s="23">
        <f>COUNTIF(Encuestas!$D$4:$D$12,3)+COUNTIF(Encuestas!$F$4:$F$12,3)</f>
        <v>0</v>
      </c>
      <c r="D97" s="23">
        <f>COUNTIF(Encuestas!$D$4:$D$12,4)+COUNTIF(Encuestas!$F$4:$F$12,4)+COUNTIF(Encuestas!$D$4:$D$12,5)+COUNTIF(Encuestas!$F$4:$F$12,5)</f>
        <v>18</v>
      </c>
      <c r="E97" s="24">
        <f>AVERAGE(Encuestas!$D$4:$D$12,Encuestas!$F$4:$F$12)</f>
        <v>4.833333333333333</v>
      </c>
      <c r="F97" s="41">
        <f>MEDIAN(Encuestas!$D$4:$D$12,Encuestas!$F$4:$F$12)</f>
        <v>5</v>
      </c>
    </row>
    <row r="99" spans="1:7" ht="63.7" customHeight="1" x14ac:dyDescent="0.3">
      <c r="A99" s="59" t="s">
        <v>308</v>
      </c>
      <c r="B99" s="49"/>
      <c r="C99" s="49"/>
      <c r="D99" s="49"/>
      <c r="E99" s="49"/>
      <c r="F99" s="49"/>
      <c r="G99" s="49"/>
    </row>
    <row r="115" spans="1:7" ht="15.65" customHeight="1" x14ac:dyDescent="0.3">
      <c r="A115" s="39" t="s">
        <v>309</v>
      </c>
    </row>
    <row r="116" spans="1:7" ht="72" customHeight="1" x14ac:dyDescent="0.3">
      <c r="A116" s="59" t="s">
        <v>310</v>
      </c>
      <c r="B116" s="49"/>
      <c r="C116" s="49"/>
      <c r="D116" s="49"/>
      <c r="E116" s="49"/>
      <c r="F116" s="49"/>
      <c r="G116" s="49"/>
    </row>
    <row r="118" spans="1:7" ht="15.65" customHeight="1" x14ac:dyDescent="0.3">
      <c r="A118" s="39" t="s">
        <v>311</v>
      </c>
    </row>
    <row r="119" spans="1:7" ht="90" customHeight="1" x14ac:dyDescent="0.3">
      <c r="A119" s="60" t="s">
        <v>312</v>
      </c>
      <c r="B119" s="49"/>
      <c r="C119" s="49"/>
      <c r="D119" s="49"/>
      <c r="E119" s="49"/>
      <c r="F119" s="49"/>
      <c r="G119" s="49"/>
    </row>
    <row r="121" spans="1:7" ht="27.7" customHeight="1" x14ac:dyDescent="0.3">
      <c r="A121" s="48" t="s">
        <v>313</v>
      </c>
      <c r="B121" s="49"/>
      <c r="C121" s="49"/>
      <c r="D121" s="49"/>
      <c r="E121" s="49"/>
      <c r="F121" s="49"/>
      <c r="G121" s="49"/>
    </row>
  </sheetData>
  <mergeCells count="13">
    <mergeCell ref="A2:G2"/>
    <mergeCell ref="A15:G15"/>
    <mergeCell ref="A7:G7"/>
    <mergeCell ref="A57:G57"/>
    <mergeCell ref="A121:G121"/>
    <mergeCell ref="A99:G99"/>
    <mergeCell ref="A5:G5"/>
    <mergeCell ref="A36:G36"/>
    <mergeCell ref="A14:G14"/>
    <mergeCell ref="A119:G119"/>
    <mergeCell ref="A116:G116"/>
    <mergeCell ref="A6:G6"/>
    <mergeCell ref="A78:G78"/>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Tareas</vt:lpstr>
      <vt:lpstr>Encuestas</vt:lpstr>
      <vt:lpstr>Revelacion</vt:lpstr>
      <vt:lpstr>Metricas por tarea</vt:lpstr>
      <vt:lpstr>Analisis de errores</vt:lpstr>
      <vt:lpstr>Resumen por herramienta</vt:lpstr>
      <vt:lpstr>Analisis Cualitativo</vt:lpstr>
      <vt:lpstr>Informe Estadistico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Acevedo Diaz</dc:creator>
  <cp:lastModifiedBy>Alexis Acevedo Diaz</cp:lastModifiedBy>
  <cp:revision>2</cp:revision>
  <dcterms:created xsi:type="dcterms:W3CDTF">2026-07-22T02:45:22Z</dcterms:created>
  <dcterms:modified xsi:type="dcterms:W3CDTF">2026-07-27T06:32:00Z</dcterms:modified>
  <dc:language>en-US</dc:language>
</cp:coreProperties>
</file>